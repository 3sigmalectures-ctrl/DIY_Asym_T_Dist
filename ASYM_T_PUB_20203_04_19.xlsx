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bdev/Documents/ASYM_T/excel/"/>
    </mc:Choice>
  </mc:AlternateContent>
  <xr:revisionPtr revIDLastSave="0" documentId="8_{05AA513C-3A14-8B48-8AED-F0292A5D69F5}" xr6:coauthVersionLast="47" xr6:coauthVersionMax="47" xr10:uidLastSave="{00000000-0000-0000-0000-000000000000}"/>
  <bookViews>
    <workbookView xWindow="980" yWindow="660" windowWidth="33720" windowHeight="21000" xr2:uid="{DBB8440B-BA0F-0E4A-B668-E7592B94EA25}"/>
  </bookViews>
  <sheets>
    <sheet name="INFORMATION" sheetId="4" r:id="rId1"/>
    <sheet name="Simulation" sheetId="5" r:id="rId2"/>
    <sheet name="Notes &amp; Tests " sheetId="6" r:id="rId3"/>
  </sheets>
  <definedNames>
    <definedName name="ddiy_call_bs_iv">_xlfn._LONGTEXT(" = LAMBDA(     S0, K, r, tenor, call_price, sigma_init, n_iter,     LET(         name, ""diy_call_bs_iv"",         sig0, IF(ISOMITTED(sigma_init), 0.2, sigma_init),         n, IF(ISOMITTED(n_iter), 20, n_iter),         eps, 1E-4,          lower_bound, MAX(S","0 - K * EXP(-r * tenor), 0),         upper_bound, S0,          IF(             OR(call_price &lt; lower_bound, call_price &gt; upper_bound),             NA(),             LET(                 sig_path,                     SCAN(                         sig0,    ","                     SEQUENCE(n),                         LAMBDA(sig, k,                             LET(                                 px_bs, diy_call_bs(S0, K, r, sig, tenor),                                 vg_bs, diy_call_bs_vega(S0, K, r, sig, teno","r),                                 slope, MAX(vg_bs * 100, eps),                                 sig_next, sig - (px_bs - call_price) / slope,                                 MAX(eps, sig_next)                             )                         )     ","                ),                 TAKE(sig_path, -1)             )         )     ) )")</definedName>
    <definedName name="diy_arbfree_drift_int" comment="Arbitrage-free drift by numerical integration">_xlfn.LAMBDA(_xlpm.inv_dist,_xlpm.degf_L,_xlpm.degf_R,_xlpm.sigma,_xlpm.tenor,_xlpm.n_pts,_xlpm.model,_xlpm.dont_normalize, IF(_xlpm.model = -1, 0, _xlfn.LET(_xlpm.name, "diy_arbfree_drift_int", _xlpm.dn, IF(_xlfn.ISOMITTED(_xlpm.dont_normalize), 0, _xlpm.dont_normalize), _xlpm.u, _xlfn.SEQUENCE(_xlpm.n_pts, 1, 1 / (_xlpm.n_pts + 1), 1 / (_xlpm.n_pts + 1)), _xlpm.x, _xlfn.MAP(_xlpm.u, _xlfn.LAMBDA(_xlpm.ui, diy_inv_dist_std(_xlpm.ui, _xlpm.inv_dist, _xlpm.degf_L, _xlpm.degf_R, _xlpm.n_pts, _xlpm.model, _xlpm.dn))), _xlpm.mgf_val, AVERAGE(EXP(_xlpm.sigma * SQRT(_xlpm.tenor) * _xlpm.x)), LN(_xlpm.mgf_val) / _xlpm.tenor)))</definedName>
    <definedName name="diy_asym_T_CDF" comment="Asymmetric t cumulative distribution">_xlfn.LAMBDA(_xlpm.x,_xlpm.degf_L,_xlpm.degf_R, IF(_xlpm.x &lt; 0, _xlfn.T.DIST(_xlpm.x, _xlpm.degf_L, TRUE), _xlfn.T.DIST(_xlpm.x, _xlpm.degf_R, TRUE)))</definedName>
    <definedName name="diy_asym_T_pdf" comment="Asymmetric t probability density">_xlfn.LAMBDA(_xlpm.x,_xlpm.degf_L,_xlpm.degf_R, IF(_xlpm.x &lt; 0, _xlfn.T.DIST(_xlpm.x, _xlpm.degf_L, FALSE), _xlfn.T.DIST(_xlpm.x, _xlpm.degf_R, FALSE)))</definedName>
    <definedName name="diy_call_bs" comment="Black-Scholes call">_xlfn.LAMBDA(_xlpm.S,_xlpm.K,_xlpm.r,_xlpm.sigma,_xlpm.T, _xlfn.LET(_xlpm._cmt, "Black-Scholes Equation", _xlpm._d1, (LN(_xlpm.S / _xlpm.K) + (_xlpm.r + 0.5 * _xlpm.sigma ^ 2) * _xlpm.T) / (_xlpm.sigma * SQRT(_xlpm.T)), _xlpm._d2, _xlpm._d1 - _xlpm.sigma * SQRT(_xlpm.T), _xlpm.call_value, _xlpm.S * _xlfn.NORM.S.DIST(_xlpm._d1, TRUE) - _xlpm.K * EXP(-_xlpm.r * _xlpm.T) * _xlfn.NORM.S.DIST(_xlpm._d2, TRUE), _xlpm.call_value))</definedName>
    <definedName name="diy_call_bs_iv" comment="Black-Scholes implied volatility from observed call price using Newton-Raphson; example: =diy_call_bs_iv(90,100,0.05,1,12.2497,0.2,20) ~= 0.4000">_xlfn.LAMBDA(_xlpm.S0,_xlpm.K,_xlpm.r,_xlpm.tenor,_xlpm.call_price,_xlpm.sigma_init,_xlpm.n_iter, _xlfn.LET(_xlpm.name, "diy_call_bs_iv", _xlpm.sig0, IF(_xlfn.ISOMITTED(_xlpm.sigma_init), 0.2, _xlpm.sigma_init), _xlpm.n, IF(_xlfn.ISOMITTED(_xlpm.n_iter), 20, _xlpm.n_iter), _xlpm.eps, 0.0001, _xlpm.lower_bound, MAX(_xlpm.S0 - _xlpm.K * EXP(-_xlpm.r * _xlpm.tenor), 0), _xlpm.upper_bound, _xlpm.S0, IF(OR(_xlpm.call_price &lt; _xlpm.lower_bound, _xlpm.call_price &gt; _xlpm.upper_bound), NA(), _xlfn.LET(_xlpm.sig_path, _xlfn.SCAN(_xlpm.sig0, _xlfn.SEQUENCE(_xlpm.n), _xlfn.LAMBDA(_xlpm.sig,_xlpm.i, _xlfn.LET(_xlpm.px, diy_call_bs(_xlpm.S0, _xlpm.K, _xlpm.r, _xlpm.sig, _xlpm.tenor), _xlpm.vg, diy_call_bs_vega(_xlpm.S0, _xlpm.K, _xlpm.r, _xlpm.sig, _xlpm.tenor), _xlpm.slope, MAX(_xlpm.vg * 100, _xlpm.eps), MAX(_xlpm.eps, _xlpm.sig - (_xlpm.px - _xlpm.call_price) / _xlpm.slope)))), INDEX(_xlpm.sig_path, ROWS(_xlpm.sig_path))))))</definedName>
    <definedName name="diy_call_bs_vega" comment="Black-Scholes vega per 1 percentage point move in volatility">_xlfn.LAMBDA(_xlpm.S,_xlpm.K,_xlpm.r,_xlpm.sigma,_xlpm.T, _xlfn.LET(_xlpm.name, "diy_call_bs_vega", _xlpm._d1, (LN(_xlpm.S / _xlpm.K) + (_xlpm.r + 0.5 * _xlpm.sigma ^ 2) * _xlpm.T) / (_xlpm.sigma * SQRT(_xlpm.T)), _xlpm.S * _xlfn.NORM.S.DIST(_xlpm._d1, FALSE) * SQRT(_xlpm.T) / 100))</definedName>
    <definedName name="diy_call_delta" comment="Central-difference call delta">_xlfn.LAMBDA(_xlpm.S0,_xlpm.K,_xlpm.r,_xlpm.inv_dist,_xlpm.degf_L,_xlpm.degf_R,_xlpm.sigma,_xlpm.tenor,_xlpm.n_pts,_xlpm.model,_xlpm.dont_normalize,_xlpm.engine, _xlfn.LET(_xlpm.name, "diy_call_delta", _xlpm.h, 1, _xlpm.S_up, _xlpm.S0 + _xlpm.h / 2, _xlpm.S_dn, _xlpm.S0 - _xlpm.h / 2, _xlpm.C_up, IF(_xlpm.engine = 0, diy_call_bs(_xlpm.S_up, _xlpm.K, _xlpm.r, _xlpm.sigma, _xlpm.tenor), diy_call_int(_xlpm.S_up, _xlpm.K, _xlpm.r, _xlpm.inv_dist, _xlpm.degf_L, _xlpm.degf_R, _xlpm.sigma, _xlpm.tenor, _xlpm.n_pts, _xlpm.model, _xlpm.dont_normalize)), _xlpm.C_dn, IF(_xlpm.engine = 0, diy_call_bs(_xlpm.S_dn, _xlpm.K, _xlpm.r, _xlpm.sigma, _xlpm.tenor), diy_call_int(_xlpm.S_dn, _xlpm.K, _xlpm.r, _xlpm.inv_dist, _xlpm.degf_L, _xlpm.degf_R, _xlpm.sigma, _xlpm.tenor, _xlpm.n_pts, _xlpm.model, _xlpm.dont_normalize)), (_xlpm.C_up - _xlpm.C_dn) / _xlpm.h))</definedName>
    <definedName name="diy_call_int" comment="Call price by numerical integration">_xlfn.LAMBDA(_xlpm.S0,_xlpm.K,_xlpm.r,_xlpm.inv_dist,_xlpm.degf_L,_xlpm.degf_R,_xlpm.sigma,_xlpm.tenor,_xlpm.n_pts,_xlpm.model,_xlpm.dont_normalize, IF(_xlpm.model = -1, diy_call_bs(_xlpm.S0, _xlpm.K, _xlpm.r, _xlpm.sigma, _xlpm.tenor), _xlfn.LET(_xlpm.name, "diy_call_int", _xlpm.dn, IF(_xlfn.ISOMITTED(_xlpm.dont_normalize), 0, _xlpm.dont_normalize), _xlpm.mu, diy_arbfree_drift_int(_xlpm.inv_dist, _xlpm.degf_L, _xlpm.degf_R, _xlpm.sigma, _xlpm.tenor, _xlpm.n_pts, _xlpm.model, _xlpm.dn), _xlpm.step, 1 / _xlpm.n_pts, _xlpm.u, _xlfn.SEQUENCE(_xlpm.n_pts, 1, _xlpm.step / 2, _xlpm.step), _xlpm.x, _xlfn.MAP(_xlpm.u, _xlfn.LAMBDA(_xlpm.ui, diy_inv_dist_std(_xlpm.ui, _xlpm.inv_dist, _xlpm.degf_L, _xlpm.degf_R, _xlpm.n_pts, _xlpm.model, _xlpm.dn))), _xlpm.ST, _xlpm.S0 * EXP((_xlpm.r - _xlpm.mu) * _xlpm.tenor + _xlpm.sigma * SQRT(_xlpm.tenor) * _xlpm.x), _xlpm.payoff, _xlfn.MAP(_xlpm.ST, _xlfn.LAMBDA(_xlpm.s, MAX(_xlpm.s - _xlpm.K, 0))), EXP(-_xlpm.r * _xlpm.tenor) * SUM(_xlpm.payoff) * _xlpm.step)))</definedName>
    <definedName name="diy_call_mc" comment="Call price by simulation-style averaging">_xlfn.LAMBDA(_xlpm.S0,_xlpm.K,_xlpm.r,_xlpm.inv_dist,_xlpm.degf_L,_xlpm.degf_R,_xlpm.sigma,_xlpm.tenor,_xlpm.n_sims,_xlpm.model,_xlpm.dont_normalize, IF(_xlpm.model = -1, diy_call_bs(_xlpm.S0, _xlpm.K, _xlpm.r, _xlpm.sigma, _xlpm.tenor), _xlfn.LET(_xlpm.dn, IF(_xlfn.ISOMITTED(_xlpm.dont_normalize), 0, _xlpm.dont_normalize), _xlpm.step, 1 / _xlpm.n_sims, _xlpm.u, _xlfn.SEQUENCE(_xlpm.n_sims, 1, _xlpm.step / 2, _xlpm.step), _xlpm.x, _xlfn.MAP(_xlpm.u, _xlfn.LAMBDA(_xlpm.ui, diy_inv_dist(_xlpm.ui, _xlpm.degf_L, _xlpm.degf_R, _xlpm.model))), _xlpm.mean_x, SUM(_xlpm.x) * _xlpm.step, _xlpm._ex2, SUM(_xlfn.MAP(_xlpm.u, _xlfn.LAMBDA(_xlpm.ui, _xlfn.LET(_xlpm.xi, diy_inv_dist(_xlpm.ui, _xlpm.degf_L, _xlpm.degf_R, _xlpm.model), _xlpm.xi * _xlpm.xi)))) * _xlpm.step, _xlpm._var_x, _xlpm._ex2 - _xlpm.mean_x * _xlpm.mean_x, _xlpm._x_std, (_xlpm.x - _xlpm.mean_x) / SQRT(_xlpm._var_x), _xlpm._x, _xlpm.dn * _xlpm.x + (1 - _xlpm.dn) * _xlpm._x_std, _xlpm._mgf, AVERAGE(EXP(_xlpm.sigma * SQRT(_xlpm.tenor) * _xlpm._x)), _xlpm._mu, LN(_xlpm._mgf) / _xlpm.tenor, _xlpm._ST, _xlpm.S0 * EXP((_xlpm.r - _xlpm._mu) * _xlpm.tenor + _xlpm.sigma * SQRT(_xlpm.tenor) * _xlpm._x), _xlpm._payoff, (_xlpm._ST - _xlpm.K) * (_xlpm._ST &gt; _xlpm.K), EXP(-_xlpm.r * _xlpm.tenor) * AVERAGE(_xlpm._payoff))))</definedName>
    <definedName name="diy_excess_kurt_X_int" comment="Excess kurtosis of transformed X">_xlfn.LAMBDA(_xlpm.inv_dist,_xlpm.degf_L,_xlpm.degf_R,_xlpm.n_pts,_xlpm.model,_xlpm.dont_normalize, IF(_xlpm.model = -1, 0, _xlfn.LET(_xlpm.name, "diy_excess_kurt_X_int", _xlpm.dn, IF(_xlfn.ISOMITTED(_xlpm.dont_normalize), 0, _xlpm.dont_normalize), _xlpm.step, 1 / _xlpm.n_pts, _xlpm.u, _xlfn.SEQUENCE(_xlpm.n_pts, 1, _xlpm.step / 2, _xlpm.step), _xlpm.x, _xlfn.MAP(_xlpm.u, _xlfn.LAMBDA(_xlpm.ui, diy_inv_dist_std(_xlpm.ui, _xlpm.inv_dist, _xlpm.degf_L, _xlpm.degf_R, _xlpm.n_pts, _xlpm.model, _xlpm.dn))), _xlpm.ex, SUM(_xlpm.x) * _xlpm.step, _xlpm._ex2, SUM(_xlpm.x ^ 2) * _xlpm.step, _xlpm.var_x, _xlpm._ex2 - _xlpm.ex ^ 2, _xlpm._mu4, SUM((_xlpm.x - _xlpm.ex) ^ 4) * _xlpm.step, _xlpm._mu4 / (_xlpm.var_x ^ 2) - 3)))</definedName>
    <definedName name="diy_exp_ST_int" comment="Expected terminal stock price by integration">_xlfn.LAMBDA(_xlpm.S0,_xlpm.r,_xlpm.inv_dist,_xlpm.degf_L,_xlpm.degf_R,_xlpm.sigma,_xlpm.tenor,_xlpm.n_pts,_xlpm.model,_xlpm.dont_normalize, IF(_xlpm.model = -1, diy_fwd(_xlpm.S0, _xlpm.r, _xlpm.tenor), _xlfn.LET(_xlpm.name, "diy_exp_ST_int", _xlpm.mu, diy_arbfree_drift_int(_xlpm.inv_dist, _xlpm.degf_L, _xlpm.degf_R, _xlpm.sigma, _xlpm.tenor, _xlpm.n_pts, _xlpm.model, _xlpm.dont_normalize), _xlpm.step, 1 / _xlpm.n_pts, _xlpm.u, _xlfn.SEQUENCE(_xlpm.n_pts, 1, _xlpm.step / 2, _xlpm.step), _xlpm.x, _xlfn.MAP(_xlpm.u, _xlfn.LAMBDA(_xlpm.ui, _xlpm.inv_dist(_xlpm.ui, _xlpm.degf_L, _xlpm.degf_R, _xlpm.model))), _xlpm.ST, _xlpm.S0 * EXP((_xlpm.r - _xlpm.mu) * _xlpm.tenor + _xlpm.sigma * SQRT(_xlpm.tenor) * _xlpm.x), SUM(_xlpm.ST) * _xlpm.step)))</definedName>
    <definedName name="diy_fwd" comment="Forward price">_xlfn.LAMBDA(_xlpm.Stock1,_xlpm.rate1,_xlpm.time1, _xlfn.LET(_xlpm.comment_1, "Calculate Forward Price", _xlpm.result, _xlpm.Stock1 * EXP(_xlpm.rate1 * _xlpm.time1), _xlpm.result))</definedName>
    <definedName name="diy_inv_dist" comment="Inverse distribution dispatcher">_xlfn.LAMBDA(_xlpm.p,_xlpm.degf_L,_xlpm.degf_R,_xlpm.model, _xlfn.LET(_xlpm.name, "diy_inv_dist", _xlpm.mdl, IF(_xlfn.ISOMITTED(_xlpm.model), 0, _xlpm.model), IF(OR(_xlpm.p &lt;= 0, _xlpm.p &gt;= 1), NA(), IF(_xlpm.mdl = 1, _xlfn.T.INV(_xlpm.p, _xlpm.degf_L), IF(_xlpm.mdl = 2, _xlfn.NORM.S.INV(_xlpm.p), IF(_xlpm.p &lt; 0.5, _xlfn.T.INV(_xlpm.p, _xlpm.degf_L), _xlfn.T.INV(_xlpm.p, _xlpm.degf_R)))))))</definedName>
    <definedName name="diy_inv_dist_moments" comment="Raw inverse distribution moments">_xlfn.LAMBDA(_xlpm.inv_dist,_xlpm.degf_L,_xlpm.degf_R,_xlpm.n_pts,_xlpm.model,_xlpm.dont_normalize, _xlfn.LET(_xlpm.name, "diy_inv_dist_moments", _xlpm.step, 1 / _xlpm.n_pts, _xlpm.u, _xlfn.SEQUENCE(_xlpm.n_pts, 1, _xlpm.step / 2, _xlpm.step), _xlpm.x, _xlfn.MAP(_xlpm.u, _xlfn.LAMBDA(_xlpm.ui, _xlpm.inv_dist(_xlpm.ui, _xlpm.degf_L, _xlpm.degf_R, _xlpm.model))), _xlpm.mean_x, SUM(_xlpm.x) * _xlpm.step, _xlpm._ex2, SUM(_xlpm.x ^ 2) * _xlpm.step, _xlpm.var_x, _xlpm._ex2 - _xlpm.mean_x ^ 2, _xlfn.HSTACK(_xlpm.mean_x, _xlpm.var_x)))</definedName>
    <definedName name="diy_inv_dist_std" comment="Standardized inverse distribution draw">_xlfn.LAMBDA(_xlpm.p,_xlpm.inv_dist,_xlpm.degf_L,_xlpm.degf_R,_xlpm.n_pts,_xlpm.model,_xlpm.dont_normalize, _xlfn.LET(_xlpm.name, "diy_inv_dist_std", _xlpm.dn, IF(_xlfn.ISOMITTED(_xlpm.dont_normalize), 0, _xlpm.dont_normalize), _xlpm.x_raw, _xlpm.inv_dist(_xlpm.p, _xlpm.degf_L, _xlpm.degf_R, _xlpm.model), IF(_xlpm.dn = 1, _xlpm.x_raw, _xlfn.LET(_xlpm.step, 1 / _xlpm.n_pts, _xlpm.u, _xlfn.SEQUENCE(_xlpm.n_pts, 1, _xlpm.step / 2, _xlpm.step), _xlpm.x_all, _xlfn.MAP(_xlpm.u, _xlfn.LAMBDA(_xlpm.ui, _xlpm.inv_dist(_xlpm.ui, _xlpm.degf_L, _xlpm.degf_R, _xlpm.model))), _xlpm.mean_x, SUM(_xlpm.x_all) * _xlpm.step, _xlpm._ex2, SUM(_xlpm.x_all ^ 2) * _xlpm.step, _xlpm.var_x, _xlpm._ex2 - _xlpm.mean_x ^ 2, (_xlpm.x_raw - _xlpm.mean_x) / SQRT(_xlpm.var_x)))))</definedName>
    <definedName name="diy_mean_X_int" comment="Mean of transformed X">_xlfn.LAMBDA(_xlpm.inv_dist,_xlpm.degf_L,_xlpm.degf_R,_xlpm.n_pts,_xlpm.model,_xlpm.dont_normalize, IF(_xlpm.model = -1, 0, _xlfn.LET(_xlpm.name, "diy_mean_X_int", _xlpm.dn, IF(_xlfn.ISOMITTED(_xlpm.dont_normalize), 0, _xlpm.dont_normalize), _xlpm.step, 1 / _xlpm.n_pts, _xlpm.u, _xlfn.SEQUENCE(_xlpm.n_pts, 1, _xlpm.step / 2, _xlpm.step), _xlpm.x, _xlfn.MAP(_xlpm.u, _xlfn.LAMBDA(_xlpm.ui, diy_inv_dist_std(_xlpm.ui, _xlpm.inv_dist, _xlpm.degf_L, _xlpm.degf_R, _xlpm.n_pts, _xlpm.model, _xlpm.dn))), SUM(_xlpm.x) * _xlpm.step)))</definedName>
    <definedName name="diy_skew_X_int" comment="Skewness of transformed X">_xlfn.LAMBDA(_xlpm.inv_dist,_xlpm.degf_L,_xlpm.degf_R,_xlpm.n_pts,_xlpm.model,_xlpm.dont_normalize, IF(_xlpm.model = -1, 0, _xlfn.LET(_xlpm.name, "diy_skew_X_int", _xlpm.dn, IF(_xlfn.ISOMITTED(_xlpm.dont_normalize), 0, _xlpm.dont_normalize), _xlpm.step, 1 / _xlpm.n_pts, _xlpm.u, _xlfn.SEQUENCE(_xlpm.n_pts, 1, _xlpm.step / 2, _xlpm.step), _xlpm.x, _xlfn.MAP(_xlpm.u, _xlfn.LAMBDA(_xlpm.ui, diy_inv_dist_std(_xlpm.ui, _xlpm.inv_dist, _xlpm.degf_L, _xlpm.degf_R, _xlpm.n_pts, _xlpm.model, _xlpm.dn))), _xlpm.ex, SUM(_xlpm.x) * _xlpm.step, _xlpm._ex2, SUM(_xlpm.x ^ 2) * _xlpm.step, _xlpm.var_x, _xlpm._ex2 - _xlpm.ex ^ 2, _xlpm._mu3, SUM((_xlpm.x - _xlpm.ex) ^ 3) * _xlpm.step, _xlpm._mu3 / (_xlpm.var_x ^ 1.5))))</definedName>
    <definedName name="diy_var_X_int" comment="Variance of transformed X">_xlfn.LAMBDA(_xlpm.inv_dist,_xlpm.degf_L,_xlpm.degf_R,_xlpm.n_pts,_xlpm.model,_xlpm.dont_normalize, IF(_xlpm.model = -1, 1, _xlfn.LET(_xlpm.name, "diy_var_X_int", _xlpm.dn, IF(_xlfn.ISOMITTED(_xlpm.dont_normalize), 0, _xlpm.dont_normalize), _xlpm.step, 1 / _xlpm.n_pts, _xlpm.u, _xlfn.SEQUENCE(_xlpm.n_pts, 1, _xlpm.step / 2, _xlpm.step), _xlpm.x, _xlfn.MAP(_xlpm.u, _xlfn.LAMBDA(_xlpm.ui, diy_inv_dist_std(_xlpm.ui, _xlpm.inv_dist, _xlpm.degf_L, _xlpm.degf_R, _xlpm.n_pts, _xlpm.model, _xlpm.dn))), _xlpm.ex, SUM(_xlpm.x) * _xlpm.step, _xlpm._ex2, SUM(_xlpm.x ^ 2) * _xlpm.step, _xlpm._ex2 - _xlpm.ex ^ 2)))</definedName>
    <definedName name="diyT_case_bool" comment="Boolean test case">_xlfn.LAMBDA(_xlpm.suite_name,_xlpm.test_name,_xlpm.condition, _xlfn.HSTACK(_xlpm.suite_name, _xlpm.test_name, IF(_xlpm.condition,"PASS","FAIL")))</definedName>
    <definedName name="diyT_case_noerr" comment="No-error test case">_xlfn.LAMBDA(_xlpm.suite_name,_xlpm.test_name,_xlpm.expr, _xlfn.HSTACK(_xlpm.suite_name, _xlpm.test_name, IF(ISERROR(_xlpm.expr),"FAIL","PASS"), IF(ISERROR(_xlpm.expr),"ERROR",_xlpm.expr)))</definedName>
    <definedName name="diyT_case_num" comment="Numeric test case">_xlfn.LAMBDA(_xlpm.suite_name,_xlpm.test_name,_xlpm.actual,_xlpm.expected,_xlpm.tol, _xlfn.LET(_xlpm._err, ABS(_xlpm.actual-_xlpm.expected), _xlpm._pass, _xlpm._err&lt;=_xlpm.tol, _xlfn.HSTACK(_xlpm.suite_name, _xlpm.test_name, _xlpm.actual, _xlpm.expected, _xlpm.tol, _xlpm._err, IF(_xlpm._pass,"PASS","FAIL"))))</definedName>
    <definedName name="diyT_dist" comment="Distribution test suite">_xlfn.LAMBDA(_xlpm.model, _xlfn.VSTACK(diyT_header(), diyT_case_num("dist_02", "mean ~ 0", diy_mean_X_int(diy_inv_dist,10,10,1000,_xlpm.model,0), 0, 0.001), diyT_case_num("dist_02", "var ~ 1", diy_var_X_int(diy_inv_dist,10,10,1000,_xlpm.model,0), 1, 0.001)))</definedName>
    <definedName name="diyT_drift" comment="Drift test suite">_xlfn.LAMBDA(_xlpm.model, _xlfn.VSTACK(diyT_header(), diyT_case_num("drift_03", "E[ST]=F", diy_exp_ST_int(100,0.05,diy_inv_dist,10,10,0.2,1,1000,_xlpm.model,0), diy_fwd(100,0.05,1), 0.001)))</definedName>
    <definedName name="diyT_header" comment="Test header row">_xlfn.LAMBDA(_xlfn.HSTACK("Suite","Test","Actual","Expected","Tol","Error","Result"))</definedName>
    <definedName name="diyT_pricing" comment="Pricing test suite">_xlfn.LAMBDA(_xlpm.model, _xlfn.VSTACK(diyT_header(), diyT_case_num("pricing_04", "INT vs BS", diy_call_int(100,100,0.05,diy_inv_dist,10,10,0.2,1,1000,_xlpm.model,0), diy_call_bs(100,100,0.05,0.2,1), 0.01), diyT_case_num("pricing_04", "MC vs INT", diy_call_mc(100,100,0.05,diy_inv_dist,10,10,0.2,1,10000,_xlpm.model,0), diy_call_int(100,100,0.05,diy_inv_dist,10,10,0.2,1,1000,_xlpm.model,0), 0.01)))</definedName>
    <definedName name="diyT_primitive" comment="Primitive test suite">_xlfn.LAMBDA(_xlpm.model, _xlfn.VSTACK(diyT_header(), diyT_case_num("primitive_01", "fwd identity", diy_fwd(100,0.05,1), 100*EXP(0.05), 0.0000000001), diyT_case_num("primitive_01", "bs call", diy_call_bs(100,100,0.05,0.2,1), 10.4506, 0.001), diyT_case_bool("primitive_01", "inv_dist valid", NOT(ISNA(diy_inv_dist(0.25,10,10,_xlpm.model))))))</definedName>
    <definedName name="dn">Simulation!$D$28</definedName>
    <definedName name="model">Simulation!$D$27</definedName>
    <definedName name="rate">Simulation!$D$12</definedName>
    <definedName name="stock">Simulation!$D$10</definedName>
    <definedName name="strike">Simulation!$D$11</definedName>
    <definedName name="time">Simulation!$D$14</definedName>
    <definedName name="vol">Simulation!$D$13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5" l="1" a="1"/>
  <c r="I39" i="5" s="1"/>
  <c r="M39" i="5" s="1" a="1"/>
  <c r="M39" i="5" s="1"/>
  <c r="G38" i="5" a="1"/>
  <c r="G38" i="5" s="1"/>
  <c r="L38" i="5" s="1" a="1"/>
  <c r="L38" i="5" s="1"/>
  <c r="I38" i="5" a="1"/>
  <c r="I38" i="5" s="1"/>
  <c r="M38" i="5" s="1" a="1"/>
  <c r="M38" i="5" s="1"/>
  <c r="B87" i="6" a="1"/>
  <c r="B87" i="6" s="1"/>
  <c r="B84" i="6" a="1"/>
  <c r="B84" i="6" s="1"/>
  <c r="B80" i="6" a="1"/>
  <c r="B80" i="6" s="1"/>
  <c r="B75" i="6" a="1"/>
  <c r="B75" i="6" s="1"/>
  <c r="N61" i="5" a="1"/>
  <c r="N61" i="5" s="1"/>
  <c r="N60" i="5" a="1"/>
  <c r="N60" i="5" s="1"/>
  <c r="N59" i="5" a="1"/>
  <c r="N59" i="5" s="1"/>
  <c r="N58" i="5" a="1"/>
  <c r="N58" i="5" s="1"/>
  <c r="N57" i="5" a="1"/>
  <c r="N57" i="5" s="1"/>
  <c r="N56" i="5" a="1"/>
  <c r="N56" i="5" s="1"/>
  <c r="N55" i="5" a="1"/>
  <c r="N55" i="5" s="1"/>
  <c r="N53" i="5" a="1"/>
  <c r="N53" i="5" s="1"/>
  <c r="N52" i="5" a="1"/>
  <c r="N52" i="5" s="1"/>
  <c r="N51" i="5" a="1"/>
  <c r="N51" i="5" s="1"/>
  <c r="N50" i="5" a="1"/>
  <c r="N50" i="5" s="1"/>
  <c r="N49" i="5" a="1"/>
  <c r="N49" i="5" s="1"/>
  <c r="N48" i="5" a="1"/>
  <c r="N48" i="5" s="1"/>
  <c r="N47" i="5" a="1"/>
  <c r="N47" i="5" s="1"/>
  <c r="N45" i="5" a="1"/>
  <c r="N45" i="5" s="1"/>
  <c r="N44" i="5" a="1"/>
  <c r="N44" i="5" s="1"/>
  <c r="N43" i="5" a="1"/>
  <c r="N43" i="5" s="1"/>
  <c r="N42" i="5" a="1"/>
  <c r="N42" i="5" s="1"/>
  <c r="N41" i="5" a="1"/>
  <c r="N41" i="5" s="1"/>
  <c r="N40" i="5" a="1"/>
  <c r="N40" i="5" s="1"/>
  <c r="N39" i="5" a="1"/>
  <c r="N39" i="5" s="1"/>
  <c r="N38" i="5" a="1"/>
  <c r="N38" i="5" s="1"/>
  <c r="S61" i="5" a="1"/>
  <c r="S61" i="5" s="1"/>
  <c r="R61" i="5" a="1"/>
  <c r="R61" i="5" s="1"/>
  <c r="Q61" i="5" a="1"/>
  <c r="Q61" i="5" s="1"/>
  <c r="P61" i="5" a="1"/>
  <c r="P61" i="5" s="1"/>
  <c r="K61" i="5" a="1"/>
  <c r="K61" i="5" s="1"/>
  <c r="J61" i="5" a="1"/>
  <c r="J61" i="5" s="1"/>
  <c r="I61" i="5" a="1"/>
  <c r="I61" i="5" s="1"/>
  <c r="M61" i="5" s="1" a="1"/>
  <c r="M61" i="5" s="1"/>
  <c r="H61" i="5" a="1"/>
  <c r="H61" i="5" s="1"/>
  <c r="F61" i="5" a="1"/>
  <c r="F61" i="5" s="1"/>
  <c r="S60" i="5" a="1"/>
  <c r="S60" i="5" s="1"/>
  <c r="R60" i="5" a="1"/>
  <c r="R60" i="5" s="1"/>
  <c r="Q60" i="5" a="1"/>
  <c r="Q60" i="5" s="1"/>
  <c r="P60" i="5" a="1"/>
  <c r="P60" i="5" s="1"/>
  <c r="K60" i="5" a="1"/>
  <c r="K60" i="5" s="1"/>
  <c r="J60" i="5" a="1"/>
  <c r="J60" i="5" s="1"/>
  <c r="I60" i="5" a="1"/>
  <c r="I60" i="5" s="1"/>
  <c r="M60" i="5" s="1" a="1"/>
  <c r="M60" i="5" s="1"/>
  <c r="H60" i="5" a="1"/>
  <c r="H60" i="5" s="1"/>
  <c r="F60" i="5" a="1"/>
  <c r="F60" i="5" s="1"/>
  <c r="S59" i="5" a="1"/>
  <c r="S59" i="5" s="1"/>
  <c r="R59" i="5" a="1"/>
  <c r="R59" i="5" s="1"/>
  <c r="Q59" i="5" a="1"/>
  <c r="Q59" i="5" s="1"/>
  <c r="P59" i="5" a="1"/>
  <c r="P59" i="5" s="1"/>
  <c r="K59" i="5" a="1"/>
  <c r="K59" i="5" s="1"/>
  <c r="J59" i="5" a="1"/>
  <c r="J59" i="5" s="1"/>
  <c r="I59" i="5" a="1"/>
  <c r="I59" i="5" s="1"/>
  <c r="M59" i="5" s="1" a="1"/>
  <c r="M59" i="5" s="1"/>
  <c r="H59" i="5" a="1"/>
  <c r="H59" i="5" s="1"/>
  <c r="F59" i="5" a="1"/>
  <c r="F59" i="5" s="1"/>
  <c r="S58" i="5" a="1"/>
  <c r="S58" i="5" s="1"/>
  <c r="R58" i="5" a="1"/>
  <c r="R58" i="5" s="1"/>
  <c r="Q58" i="5" a="1"/>
  <c r="Q58" i="5" s="1"/>
  <c r="P58" i="5" a="1"/>
  <c r="P58" i="5" s="1"/>
  <c r="K58" i="5" a="1"/>
  <c r="K58" i="5" s="1"/>
  <c r="J58" i="5" a="1"/>
  <c r="J58" i="5" s="1"/>
  <c r="I58" i="5" a="1"/>
  <c r="I58" i="5" s="1"/>
  <c r="M58" i="5" s="1" a="1"/>
  <c r="M58" i="5" s="1"/>
  <c r="H58" i="5" a="1"/>
  <c r="H58" i="5" s="1"/>
  <c r="F58" i="5" a="1"/>
  <c r="F58" i="5" s="1"/>
  <c r="S57" i="5" a="1"/>
  <c r="S57" i="5" s="1"/>
  <c r="R57" i="5" a="1"/>
  <c r="R57" i="5" s="1"/>
  <c r="Q57" i="5" a="1"/>
  <c r="Q57" i="5" s="1"/>
  <c r="P57" i="5" a="1"/>
  <c r="P57" i="5" s="1"/>
  <c r="K57" i="5" a="1"/>
  <c r="K57" i="5" s="1"/>
  <c r="J57" i="5" a="1"/>
  <c r="J57" i="5" s="1"/>
  <c r="I57" i="5" a="1"/>
  <c r="I57" i="5" s="1"/>
  <c r="M57" i="5" s="1" a="1"/>
  <c r="M57" i="5" s="1"/>
  <c r="H57" i="5" a="1"/>
  <c r="H57" i="5" s="1"/>
  <c r="F57" i="5" a="1"/>
  <c r="F57" i="5" s="1"/>
  <c r="S56" i="5" a="1"/>
  <c r="S56" i="5" s="1"/>
  <c r="R56" i="5" a="1"/>
  <c r="R56" i="5" s="1"/>
  <c r="Q56" i="5" a="1"/>
  <c r="Q56" i="5" s="1"/>
  <c r="P56" i="5" a="1"/>
  <c r="P56" i="5" s="1"/>
  <c r="K56" i="5" a="1"/>
  <c r="K56" i="5" s="1"/>
  <c r="J56" i="5" a="1"/>
  <c r="J56" i="5" s="1"/>
  <c r="I56" i="5" a="1"/>
  <c r="I56" i="5" s="1"/>
  <c r="M56" i="5" s="1" a="1"/>
  <c r="M56" i="5" s="1"/>
  <c r="H56" i="5" a="1"/>
  <c r="H56" i="5" s="1"/>
  <c r="F56" i="5" a="1"/>
  <c r="F56" i="5" s="1"/>
  <c r="S55" i="5" a="1"/>
  <c r="S55" i="5" s="1"/>
  <c r="R55" i="5" a="1"/>
  <c r="R55" i="5" s="1"/>
  <c r="Q55" i="5" a="1"/>
  <c r="Q55" i="5" s="1"/>
  <c r="P55" i="5" a="1"/>
  <c r="P55" i="5" s="1"/>
  <c r="K55" i="5" a="1"/>
  <c r="K55" i="5" s="1"/>
  <c r="J55" i="5" a="1"/>
  <c r="J55" i="5" s="1"/>
  <c r="I55" i="5" a="1"/>
  <c r="I55" i="5" s="1"/>
  <c r="M55" i="5" s="1" a="1"/>
  <c r="M55" i="5" s="1"/>
  <c r="H55" i="5" a="1"/>
  <c r="H55" i="5" s="1"/>
  <c r="F55" i="5" a="1"/>
  <c r="F55" i="5" s="1"/>
  <c r="S53" i="5" a="1"/>
  <c r="S53" i="5" s="1"/>
  <c r="R53" i="5" a="1"/>
  <c r="R53" i="5" s="1"/>
  <c r="Q53" i="5" a="1"/>
  <c r="Q53" i="5" s="1"/>
  <c r="P53" i="5" a="1"/>
  <c r="P53" i="5" s="1"/>
  <c r="K53" i="5" a="1"/>
  <c r="K53" i="5" s="1"/>
  <c r="J53" i="5" a="1"/>
  <c r="J53" i="5" s="1"/>
  <c r="I53" i="5" a="1"/>
  <c r="I53" i="5" s="1"/>
  <c r="M53" i="5" s="1" a="1"/>
  <c r="M53" i="5" s="1"/>
  <c r="H53" i="5" a="1"/>
  <c r="H53" i="5" s="1"/>
  <c r="F53" i="5" a="1"/>
  <c r="F53" i="5" s="1"/>
  <c r="S52" i="5" a="1"/>
  <c r="S52" i="5" s="1"/>
  <c r="R52" i="5" a="1"/>
  <c r="R52" i="5" s="1"/>
  <c r="Q52" i="5" a="1"/>
  <c r="Q52" i="5" s="1"/>
  <c r="P52" i="5" a="1"/>
  <c r="P52" i="5" s="1"/>
  <c r="K52" i="5" a="1"/>
  <c r="K52" i="5" s="1"/>
  <c r="J52" i="5" a="1"/>
  <c r="J52" i="5" s="1"/>
  <c r="I52" i="5" a="1"/>
  <c r="I52" i="5" s="1"/>
  <c r="M52" i="5" s="1" a="1"/>
  <c r="M52" i="5" s="1"/>
  <c r="H52" i="5" a="1"/>
  <c r="H52" i="5" s="1"/>
  <c r="F52" i="5" a="1"/>
  <c r="F52" i="5" s="1"/>
  <c r="S51" i="5" a="1"/>
  <c r="S51" i="5" s="1"/>
  <c r="R51" i="5" a="1"/>
  <c r="R51" i="5" s="1"/>
  <c r="Q51" i="5" a="1"/>
  <c r="Q51" i="5" s="1"/>
  <c r="P51" i="5" a="1"/>
  <c r="P51" i="5" s="1"/>
  <c r="K51" i="5" a="1"/>
  <c r="K51" i="5" s="1"/>
  <c r="J51" i="5" a="1"/>
  <c r="J51" i="5" s="1"/>
  <c r="I51" i="5" a="1"/>
  <c r="I51" i="5" s="1"/>
  <c r="M51" i="5" s="1" a="1"/>
  <c r="M51" i="5" s="1"/>
  <c r="H51" i="5" a="1"/>
  <c r="H51" i="5" s="1"/>
  <c r="F51" i="5" a="1"/>
  <c r="F51" i="5" s="1"/>
  <c r="S50" i="5" a="1"/>
  <c r="S50" i="5" s="1"/>
  <c r="R50" i="5" a="1"/>
  <c r="R50" i="5" s="1"/>
  <c r="Q50" i="5" a="1"/>
  <c r="Q50" i="5" s="1"/>
  <c r="P50" i="5" a="1"/>
  <c r="P50" i="5" s="1"/>
  <c r="K50" i="5" a="1"/>
  <c r="K50" i="5" s="1"/>
  <c r="J50" i="5" a="1"/>
  <c r="J50" i="5" s="1"/>
  <c r="I50" i="5" a="1"/>
  <c r="I50" i="5" s="1"/>
  <c r="M50" i="5" s="1" a="1"/>
  <c r="M50" i="5" s="1"/>
  <c r="H50" i="5" a="1"/>
  <c r="H50" i="5" s="1"/>
  <c r="F50" i="5" a="1"/>
  <c r="F50" i="5" s="1"/>
  <c r="S49" i="5" a="1"/>
  <c r="S49" i="5" s="1"/>
  <c r="R49" i="5" a="1"/>
  <c r="R49" i="5" s="1"/>
  <c r="Q49" i="5" a="1"/>
  <c r="Q49" i="5" s="1"/>
  <c r="P49" i="5" a="1"/>
  <c r="P49" i="5" s="1"/>
  <c r="K49" i="5" a="1"/>
  <c r="K49" i="5" s="1"/>
  <c r="J49" i="5" a="1"/>
  <c r="J49" i="5" s="1"/>
  <c r="I49" i="5" a="1"/>
  <c r="I49" i="5" s="1"/>
  <c r="M49" i="5" s="1" a="1"/>
  <c r="M49" i="5" s="1"/>
  <c r="H49" i="5" a="1"/>
  <c r="H49" i="5" s="1"/>
  <c r="F49" i="5" a="1"/>
  <c r="F49" i="5" s="1"/>
  <c r="S48" i="5" a="1"/>
  <c r="S48" i="5" s="1"/>
  <c r="R48" i="5" a="1"/>
  <c r="R48" i="5" s="1"/>
  <c r="Q48" i="5" a="1"/>
  <c r="Q48" i="5" s="1"/>
  <c r="P48" i="5" a="1"/>
  <c r="P48" i="5" s="1"/>
  <c r="K48" i="5" a="1"/>
  <c r="K48" i="5" s="1"/>
  <c r="J48" i="5" a="1"/>
  <c r="J48" i="5" s="1"/>
  <c r="I48" i="5" a="1"/>
  <c r="I48" i="5" s="1"/>
  <c r="M48" i="5" s="1" a="1"/>
  <c r="M48" i="5" s="1"/>
  <c r="H48" i="5" a="1"/>
  <c r="H48" i="5" s="1"/>
  <c r="F48" i="5" a="1"/>
  <c r="F48" i="5" s="1"/>
  <c r="S47" i="5" a="1"/>
  <c r="S47" i="5" s="1"/>
  <c r="R47" i="5" a="1"/>
  <c r="R47" i="5" s="1"/>
  <c r="Q47" i="5" a="1"/>
  <c r="Q47" i="5" s="1"/>
  <c r="P47" i="5" a="1"/>
  <c r="P47" i="5" s="1"/>
  <c r="K47" i="5" a="1"/>
  <c r="K47" i="5" s="1"/>
  <c r="J47" i="5" a="1"/>
  <c r="J47" i="5" s="1"/>
  <c r="I47" i="5" a="1"/>
  <c r="I47" i="5" s="1"/>
  <c r="M47" i="5" s="1" a="1"/>
  <c r="M47" i="5" s="1"/>
  <c r="H47" i="5" a="1"/>
  <c r="H47" i="5" s="1"/>
  <c r="F47" i="5" a="1"/>
  <c r="F47" i="5" s="1"/>
  <c r="S45" i="5" a="1"/>
  <c r="S45" i="5" s="1"/>
  <c r="R45" i="5" a="1"/>
  <c r="R45" i="5" s="1"/>
  <c r="Q45" i="5" a="1"/>
  <c r="Q45" i="5" s="1"/>
  <c r="P45" i="5" a="1"/>
  <c r="P45" i="5" s="1"/>
  <c r="K45" i="5" a="1"/>
  <c r="K45" i="5" s="1"/>
  <c r="J45" i="5" a="1"/>
  <c r="J45" i="5" s="1"/>
  <c r="I45" i="5" a="1"/>
  <c r="I45" i="5" s="1"/>
  <c r="M45" i="5" s="1" a="1"/>
  <c r="M45" i="5" s="1"/>
  <c r="H45" i="5" a="1"/>
  <c r="H45" i="5" s="1"/>
  <c r="F45" i="5" a="1"/>
  <c r="F45" i="5" s="1"/>
  <c r="S44" i="5" a="1"/>
  <c r="S44" i="5" s="1"/>
  <c r="R44" i="5" a="1"/>
  <c r="R44" i="5" s="1"/>
  <c r="Q44" i="5" a="1"/>
  <c r="Q44" i="5" s="1"/>
  <c r="P44" i="5" a="1"/>
  <c r="P44" i="5" s="1"/>
  <c r="K44" i="5" a="1"/>
  <c r="K44" i="5" s="1"/>
  <c r="J44" i="5" a="1"/>
  <c r="J44" i="5" s="1"/>
  <c r="I44" i="5" a="1"/>
  <c r="I44" i="5" s="1"/>
  <c r="M44" i="5" s="1" a="1"/>
  <c r="M44" i="5" s="1"/>
  <c r="H44" i="5" a="1"/>
  <c r="H44" i="5" s="1"/>
  <c r="F44" i="5" a="1"/>
  <c r="F44" i="5" s="1"/>
  <c r="S43" i="5" a="1"/>
  <c r="S43" i="5" s="1"/>
  <c r="R43" i="5" a="1"/>
  <c r="R43" i="5" s="1"/>
  <c r="Q43" i="5" a="1"/>
  <c r="Q43" i="5" s="1"/>
  <c r="P43" i="5" a="1"/>
  <c r="P43" i="5" s="1"/>
  <c r="K43" i="5" a="1"/>
  <c r="K43" i="5" s="1"/>
  <c r="J43" i="5" a="1"/>
  <c r="J43" i="5" s="1"/>
  <c r="I43" i="5" a="1"/>
  <c r="I43" i="5" s="1"/>
  <c r="M43" i="5" s="1" a="1"/>
  <c r="M43" i="5" s="1"/>
  <c r="H43" i="5" a="1"/>
  <c r="H43" i="5" s="1"/>
  <c r="F43" i="5" a="1"/>
  <c r="F43" i="5" s="1"/>
  <c r="S42" i="5" a="1"/>
  <c r="S42" i="5" s="1"/>
  <c r="R42" i="5" a="1"/>
  <c r="R42" i="5" s="1"/>
  <c r="Q42" i="5" a="1"/>
  <c r="Q42" i="5" s="1"/>
  <c r="P42" i="5" a="1"/>
  <c r="P42" i="5" s="1"/>
  <c r="K42" i="5" a="1"/>
  <c r="K42" i="5" s="1"/>
  <c r="J42" i="5" a="1"/>
  <c r="J42" i="5" s="1"/>
  <c r="I42" i="5" a="1"/>
  <c r="I42" i="5" s="1"/>
  <c r="M42" i="5" s="1" a="1"/>
  <c r="M42" i="5" s="1"/>
  <c r="H42" i="5" a="1"/>
  <c r="H42" i="5" s="1"/>
  <c r="F42" i="5" a="1"/>
  <c r="F42" i="5" s="1"/>
  <c r="S41" i="5" a="1"/>
  <c r="S41" i="5" s="1"/>
  <c r="R41" i="5" a="1"/>
  <c r="R41" i="5" s="1"/>
  <c r="Q41" i="5" a="1"/>
  <c r="Q41" i="5" s="1"/>
  <c r="P41" i="5" a="1"/>
  <c r="P41" i="5" s="1"/>
  <c r="K41" i="5" a="1"/>
  <c r="K41" i="5" s="1"/>
  <c r="J41" i="5" a="1"/>
  <c r="J41" i="5" s="1"/>
  <c r="I41" i="5" a="1"/>
  <c r="I41" i="5" s="1"/>
  <c r="M41" i="5" s="1" a="1"/>
  <c r="M41" i="5" s="1"/>
  <c r="H41" i="5" a="1"/>
  <c r="H41" i="5" s="1"/>
  <c r="F41" i="5" a="1"/>
  <c r="F41" i="5" s="1"/>
  <c r="S40" i="5" a="1"/>
  <c r="S40" i="5" s="1"/>
  <c r="R40" i="5" a="1"/>
  <c r="R40" i="5" s="1"/>
  <c r="Q40" i="5" a="1"/>
  <c r="Q40" i="5" s="1"/>
  <c r="P40" i="5" a="1"/>
  <c r="P40" i="5" s="1"/>
  <c r="K40" i="5" a="1"/>
  <c r="K40" i="5" s="1"/>
  <c r="J40" i="5" a="1"/>
  <c r="J40" i="5" s="1"/>
  <c r="I40" i="5" a="1"/>
  <c r="I40" i="5" s="1"/>
  <c r="M40" i="5" s="1" a="1"/>
  <c r="M40" i="5" s="1"/>
  <c r="H40" i="5" a="1"/>
  <c r="H40" i="5" s="1"/>
  <c r="F40" i="5" a="1"/>
  <c r="F40" i="5" s="1"/>
  <c r="S39" i="5" a="1"/>
  <c r="S39" i="5" s="1"/>
  <c r="R39" i="5" a="1"/>
  <c r="R39" i="5" s="1"/>
  <c r="Q39" i="5" a="1"/>
  <c r="Q39" i="5" s="1"/>
  <c r="P39" i="5" a="1"/>
  <c r="P39" i="5" s="1"/>
  <c r="K39" i="5" a="1"/>
  <c r="K39" i="5" s="1"/>
  <c r="J39" i="5" a="1"/>
  <c r="J39" i="5" s="1"/>
  <c r="H39" i="5" a="1"/>
  <c r="H39" i="5" s="1"/>
  <c r="F39" i="5" a="1"/>
  <c r="F39" i="5" s="1"/>
  <c r="S38" i="5" a="1"/>
  <c r="S38" i="5" s="1"/>
  <c r="R38" i="5" a="1"/>
  <c r="R38" i="5" s="1"/>
  <c r="Q38" i="5" a="1"/>
  <c r="Q38" i="5" s="1"/>
  <c r="P38" i="5" a="1"/>
  <c r="P38" i="5" s="1"/>
  <c r="K38" i="5" a="1"/>
  <c r="K38" i="5" s="1"/>
  <c r="J38" i="5" a="1"/>
  <c r="J38" i="5" s="1"/>
  <c r="H38" i="5" a="1"/>
  <c r="H38" i="5" s="1"/>
  <c r="F38" i="5" a="1"/>
  <c r="F38" i="5" s="1"/>
  <c r="G39" i="5" a="1"/>
  <c r="G39" i="5" s="1"/>
  <c r="L39" i="5" s="1" a="1"/>
  <c r="L39" i="5" s="1"/>
  <c r="G40" i="5" a="1"/>
  <c r="G40" i="5" s="1"/>
  <c r="L40" i="5" s="1" a="1"/>
  <c r="L40" i="5" s="1"/>
  <c r="G61" i="5" a="1"/>
  <c r="G61" i="5" s="1"/>
  <c r="L61" i="5" s="1" a="1"/>
  <c r="L61" i="5" s="1"/>
  <c r="E61" i="5" a="1"/>
  <c r="E61" i="5" s="1"/>
  <c r="G60" i="5" a="1"/>
  <c r="G60" i="5" s="1"/>
  <c r="L60" i="5" s="1" a="1"/>
  <c r="L60" i="5" s="1"/>
  <c r="E60" i="5" a="1"/>
  <c r="E60" i="5" s="1"/>
  <c r="G59" i="5" a="1"/>
  <c r="G59" i="5" s="1"/>
  <c r="L59" i="5" s="1" a="1"/>
  <c r="L59" i="5" s="1"/>
  <c r="E59" i="5" a="1"/>
  <c r="E59" i="5" s="1"/>
  <c r="G58" i="5" a="1"/>
  <c r="G58" i="5" s="1"/>
  <c r="L58" i="5" s="1" a="1"/>
  <c r="L58" i="5" s="1"/>
  <c r="E58" i="5" a="1"/>
  <c r="E58" i="5" s="1"/>
  <c r="G57" i="5" a="1"/>
  <c r="G57" i="5" s="1"/>
  <c r="L57" i="5" s="1" a="1"/>
  <c r="L57" i="5" s="1"/>
  <c r="E57" i="5" a="1"/>
  <c r="E57" i="5" s="1"/>
  <c r="G56" i="5" a="1"/>
  <c r="G56" i="5" s="1"/>
  <c r="L56" i="5" s="1" a="1"/>
  <c r="L56" i="5" s="1"/>
  <c r="E56" i="5" a="1"/>
  <c r="E56" i="5" s="1"/>
  <c r="G55" i="5" a="1"/>
  <c r="G55" i="5" s="1"/>
  <c r="L55" i="5" s="1" a="1"/>
  <c r="L55" i="5" s="1"/>
  <c r="E55" i="5" a="1"/>
  <c r="E55" i="5" s="1"/>
  <c r="G53" i="5" a="1"/>
  <c r="G53" i="5" s="1"/>
  <c r="L53" i="5" s="1" a="1"/>
  <c r="L53" i="5" s="1"/>
  <c r="E53" i="5" a="1"/>
  <c r="E53" i="5" s="1"/>
  <c r="G52" i="5" a="1"/>
  <c r="G52" i="5" s="1"/>
  <c r="L52" i="5" s="1" a="1"/>
  <c r="L52" i="5" s="1"/>
  <c r="E52" i="5" a="1"/>
  <c r="E52" i="5" s="1"/>
  <c r="G51" i="5" a="1"/>
  <c r="G51" i="5" s="1"/>
  <c r="L51" i="5" s="1" a="1"/>
  <c r="L51" i="5" s="1"/>
  <c r="E51" i="5" a="1"/>
  <c r="E51" i="5" s="1"/>
  <c r="G50" i="5" a="1"/>
  <c r="G50" i="5" s="1"/>
  <c r="L50" i="5" s="1" a="1"/>
  <c r="L50" i="5" s="1"/>
  <c r="E50" i="5" a="1"/>
  <c r="E50" i="5" s="1"/>
  <c r="G49" i="5" a="1"/>
  <c r="G49" i="5" s="1"/>
  <c r="L49" i="5" s="1" a="1"/>
  <c r="L49" i="5" s="1"/>
  <c r="E49" i="5" a="1"/>
  <c r="E49" i="5" s="1"/>
  <c r="G48" i="5" a="1"/>
  <c r="G48" i="5" s="1"/>
  <c r="L48" i="5" s="1" a="1"/>
  <c r="L48" i="5" s="1"/>
  <c r="E48" i="5" a="1"/>
  <c r="E48" i="5" s="1"/>
  <c r="G47" i="5" a="1"/>
  <c r="G47" i="5" s="1"/>
  <c r="L47" i="5" s="1" a="1"/>
  <c r="L47" i="5" s="1"/>
  <c r="E47" i="5" a="1"/>
  <c r="E47" i="5" s="1"/>
  <c r="G45" i="5" a="1"/>
  <c r="G45" i="5" s="1"/>
  <c r="L45" i="5" s="1" a="1"/>
  <c r="L45" i="5" s="1"/>
  <c r="E45" i="5" a="1"/>
  <c r="E45" i="5" s="1"/>
  <c r="G44" i="5" a="1"/>
  <c r="G44" i="5" s="1"/>
  <c r="L44" i="5" s="1" a="1"/>
  <c r="L44" i="5" s="1"/>
  <c r="E44" i="5" a="1"/>
  <c r="E44" i="5" s="1"/>
  <c r="G43" i="5" a="1"/>
  <c r="G43" i="5" s="1"/>
  <c r="L43" i="5" s="1" a="1"/>
  <c r="L43" i="5" s="1"/>
  <c r="E43" i="5" a="1"/>
  <c r="E43" i="5" s="1"/>
  <c r="G42" i="5" a="1"/>
  <c r="G42" i="5" s="1"/>
  <c r="L42" i="5" s="1" a="1"/>
  <c r="L42" i="5" s="1"/>
  <c r="E42" i="5" a="1"/>
  <c r="E42" i="5" s="1"/>
  <c r="G41" i="5" a="1"/>
  <c r="G41" i="5" s="1"/>
  <c r="L41" i="5" s="1" a="1"/>
  <c r="L41" i="5" s="1"/>
  <c r="E41" i="5" a="1"/>
  <c r="E41" i="5" s="1"/>
  <c r="E40" i="5" a="1"/>
  <c r="E40" i="5" s="1"/>
  <c r="E39" i="5" a="1"/>
  <c r="E39" i="5" s="1"/>
  <c r="E38" i="5" a="1"/>
  <c r="E38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<sst xmlns="http://schemas.openxmlformats.org/spreadsheetml/2006/main" count="318" uniqueCount="268">
  <si>
    <t>You are solely responsible for validating all formulas, models, assumptions, and outputs before relying on them.</t>
  </si>
  <si>
    <t>The developer makes no warranty as to the accuracy, completeness, or fitness of this code for any particular purpose.</t>
  </si>
  <si>
    <t>This code is provided for educational and informational purposes only. It is not investment, trading, accounting, legal, or tax advice.</t>
  </si>
  <si>
    <t>DISCLAIMER</t>
  </si>
  <si>
    <t>Lower degf = fatter tails = different option prices</t>
  </si>
  <si>
    <t>Call_BS vs Call_MC vs Call_INT: Should converge when model=2</t>
  </si>
  <si>
    <t>Forward vs E(S_T): Should be equal (martingale condition)</t>
  </si>
  <si>
    <t>INTERPRETING RESULTS</t>
  </si>
  <si>
    <t>7. Review E(X) and Var(X) to confirm normalisation works</t>
  </si>
  <si>
    <t>HOW TO USE THIS SHEET</t>
  </si>
  <si>
    <t>https://gist.github.com/3sigmalectures-ctrl/878ef58edfb1a3730b82af11293d8d3f</t>
  </si>
  <si>
    <t>Model = -1 is 'Review Mode' - returns Black-Scholes values without simulation</t>
  </si>
  <si>
    <t>Save your work before setting Model to any value other than -1</t>
  </si>
  <si>
    <t>This sheet consumes significant memory when Model ≠ -1</t>
  </si>
  <si>
    <t>Turn off automatic calculation before running simulations (Formulas → Calculation Options → Manual)</t>
  </si>
  <si>
    <t>⚠️ IMPORTANT NOTES</t>
  </si>
  <si>
    <t>Monte Carlo Simulation &amp; Numerical Integration Framework</t>
  </si>
  <si>
    <t>Call Option Pricing with Alternative Return Distributions</t>
  </si>
  <si>
    <t>📊 INPUT PARAMETERS</t>
  </si>
  <si>
    <t>Parameter</t>
  </si>
  <si>
    <t>Symbol</t>
  </si>
  <si>
    <t>Value</t>
  </si>
  <si>
    <t>Unit</t>
  </si>
  <si>
    <t>Description</t>
  </si>
  <si>
    <t>Stock Price</t>
  </si>
  <si>
    <t>S₀</t>
  </si>
  <si>
    <t>$</t>
  </si>
  <si>
    <t>Current spot price of the underlying asset</t>
  </si>
  <si>
    <t>Strike Price</t>
  </si>
  <si>
    <t>K</t>
  </si>
  <si>
    <t>Exercise price of the call option</t>
  </si>
  <si>
    <t>Risk-Free Rate</t>
  </si>
  <si>
    <t>r</t>
  </si>
  <si>
    <t>annual</t>
  </si>
  <si>
    <t>Continuously compounded interest rate (5%)</t>
  </si>
  <si>
    <t>Volatility</t>
  </si>
  <si>
    <t>σ</t>
  </si>
  <si>
    <t>Annualised standard deviation of returns (40%)</t>
  </si>
  <si>
    <t>Time to Maturity</t>
  </si>
  <si>
    <t>T</t>
  </si>
  <si>
    <t>years</t>
  </si>
  <si>
    <t>Time until option expiration</t>
  </si>
  <si>
    <t>DISTRIBUTION MODEL REFERENCE</t>
  </si>
  <si>
    <t>Model Code</t>
  </si>
  <si>
    <t>Name</t>
  </si>
  <si>
    <t>Left Tail (degf_L)</t>
  </si>
  <si>
    <t>Right Tail (degf_R)</t>
  </si>
  <si>
    <t>Review Mode</t>
  </si>
  <si>
    <t>N/A</t>
  </si>
  <si>
    <t>Returns Black-Scholes; no simulation performed</t>
  </si>
  <si>
    <t>Asymmetric t</t>
  </si>
  <si>
    <t>Used for x&lt;0</t>
  </si>
  <si>
    <t>Used for x&gt;=0</t>
  </si>
  <si>
    <t>Fat-tailed with separate left/right df parameters</t>
  </si>
  <si>
    <t>Symmetric t</t>
  </si>
  <si>
    <t>Used for all x</t>
  </si>
  <si>
    <t>Ignored</t>
  </si>
  <si>
    <t>Standard Student-t distribution</t>
  </si>
  <si>
    <t>Normal</t>
  </si>
  <si>
    <t>Standard Gaussian distribution</t>
  </si>
  <si>
    <t>⚙️ MODEL SETTINGS</t>
  </si>
  <si>
    <t>Setting</t>
  </si>
  <si>
    <t>Distribution Model</t>
  </si>
  <si>
    <t>model</t>
  </si>
  <si>
    <t>Model selector: -1=Review(BS), 0=Asymmetric-t, 1=Symmetric-t, 2=Normal</t>
  </si>
  <si>
    <t>Normalisation Flag</t>
  </si>
  <si>
    <t>dn</t>
  </si>
  <si>
    <t>0=Normalise distribution, 1=Use raw draws</t>
  </si>
  <si>
    <t>SIMULATION COMPARISON: Pricing Under Various Distribution Assumptions</t>
  </si>
  <si>
    <t>This table compares call option prices across different degrees of freedom for the asymmetric t-distribution.</t>
  </si>
  <si>
    <t>Case</t>
  </si>
  <si>
    <t>degf_L</t>
  </si>
  <si>
    <t>degf_R</t>
  </si>
  <si>
    <t>n_sims</t>
  </si>
  <si>
    <t>Forward</t>
  </si>
  <si>
    <t>E(S_T)</t>
  </si>
  <si>
    <t>Call_BS</t>
  </si>
  <si>
    <t>Call_MC</t>
  </si>
  <si>
    <t>Call_INT</t>
  </si>
  <si>
    <t>Delta_BS</t>
  </si>
  <si>
    <t>Delta_INT</t>
  </si>
  <si>
    <t>E(X)</t>
  </si>
  <si>
    <t>Var(X)</t>
  </si>
  <si>
    <t>#</t>
  </si>
  <si>
    <t>(left tail)</t>
  </si>
  <si>
    <t>(right tail)</t>
  </si>
  <si>
    <t>(grid points)</t>
  </si>
  <si>
    <t>S0*exp(rT)</t>
  </si>
  <si>
    <t>(check)</t>
  </si>
  <si>
    <t>(INT)</t>
  </si>
  <si>
    <t>(mean)</t>
  </si>
  <si>
    <t>(variance)</t>
  </si>
  <si>
    <t>Sym-1</t>
  </si>
  <si>
    <t>Sym-2</t>
  </si>
  <si>
    <t>Sym-3</t>
  </si>
  <si>
    <t>Sym-4</t>
  </si>
  <si>
    <t>Sym-5</t>
  </si>
  <si>
    <t>Sym-6</t>
  </si>
  <si>
    <t>Sym-7</t>
  </si>
  <si>
    <t>Sym-8</t>
  </si>
  <si>
    <t>--- Asymmetric Cases (degf_L varies, degf_R fixed at 1000) ---</t>
  </si>
  <si>
    <t>Asym-L1</t>
  </si>
  <si>
    <t>Asym-L2</t>
  </si>
  <si>
    <t>Asym-L3</t>
  </si>
  <si>
    <t>Asym-L4</t>
  </si>
  <si>
    <t>Asym-L5</t>
  </si>
  <si>
    <t>Asym-L6</t>
  </si>
  <si>
    <t>Asym-L7</t>
  </si>
  <si>
    <t>--- Asymmetric Cases (degf_L fixed at 1000, degf_R varies) ---</t>
  </si>
  <si>
    <t>Asym-R1</t>
  </si>
  <si>
    <t>Asym-R2</t>
  </si>
  <si>
    <t>Asym-R3</t>
  </si>
  <si>
    <t>Asym-R4</t>
  </si>
  <si>
    <t>Asym-R5</t>
  </si>
  <si>
    <t>Asym-R6</t>
  </si>
  <si>
    <t>Asym-R7</t>
  </si>
  <si>
    <t>LAMBDA FUNCTIONS REFERENCE</t>
  </si>
  <si>
    <t>Function</t>
  </si>
  <si>
    <t>Purpose</t>
  </si>
  <si>
    <t>Key Parameters</t>
  </si>
  <si>
    <t>Returns</t>
  </si>
  <si>
    <t>CORE PRICING FUNCTIONS</t>
  </si>
  <si>
    <t>diy_call_bs</t>
  </si>
  <si>
    <t>Black-Scholes call pricing</t>
  </si>
  <si>
    <t>S, K, r, sigma, T</t>
  </si>
  <si>
    <t>Call price ($)</t>
  </si>
  <si>
    <t>diy_call_int</t>
  </si>
  <si>
    <t>Call pricing via numerical integration</t>
  </si>
  <si>
    <t>diy_call_mc</t>
  </si>
  <si>
    <t>Call pricing via Monte Carlo grid</t>
  </si>
  <si>
    <t>diy_call_delta</t>
  </si>
  <si>
    <t>Delta via central difference</t>
  </si>
  <si>
    <t>Delta (unitless)</t>
  </si>
  <si>
    <t>diy_fwd</t>
  </si>
  <si>
    <t>Forward price calculation</t>
  </si>
  <si>
    <t>Forward price ($)</t>
  </si>
  <si>
    <t>DISTRIBUTION FUNCTIONS</t>
  </si>
  <si>
    <t>diy_inv_dist</t>
  </si>
  <si>
    <t>Unified inverse CDF dispatcher</t>
  </si>
  <si>
    <t>p, degf_L, degf_R, model</t>
  </si>
  <si>
    <t>Quantile value</t>
  </si>
  <si>
    <t>diy_inv_dist_std</t>
  </si>
  <si>
    <t>Standardised inverse distribution draw</t>
  </si>
  <si>
    <t>Standardised value</t>
  </si>
  <si>
    <t>diy_inv_dist_moments</t>
  </si>
  <si>
    <t>Numerical mean and variance</t>
  </si>
  <si>
    <t>Array: [mean, var]</t>
  </si>
  <si>
    <t>diy_mean_X_int</t>
  </si>
  <si>
    <t>Numerical mean of standardised dist</t>
  </si>
  <si>
    <t>Mean (approx 0)</t>
  </si>
  <si>
    <t>diy_var_X_int</t>
  </si>
  <si>
    <t>Numerical variance of standardised dist</t>
  </si>
  <si>
    <t>Variance (approx 1)</t>
  </si>
  <si>
    <t>RISK-NEUTRAL / DRIFT FUNCTIONS</t>
  </si>
  <si>
    <t>diy_arbfree_drift_int</t>
  </si>
  <si>
    <t>Arbitrage-free drift correction</t>
  </si>
  <si>
    <t>Drift mu</t>
  </si>
  <si>
    <t>diy_exp_ST_int</t>
  </si>
  <si>
    <t>Expected terminal stock price E[ST]</t>
  </si>
  <si>
    <t>E[ST] (should = F0)</t>
  </si>
  <si>
    <t>TEST SUITE FUNCTIONS (diyT_*)</t>
  </si>
  <si>
    <t>diyT_primitive</t>
  </si>
  <si>
    <t>Foundational tests (fwd, BS, inv_dist)</t>
  </si>
  <si>
    <t>Test report array</t>
  </si>
  <si>
    <t>diyT_dist</t>
  </si>
  <si>
    <t>Distribution normalisation tests</t>
  </si>
  <si>
    <t>diyT_drift</t>
  </si>
  <si>
    <t>Martingale consistency test E[ST]=F</t>
  </si>
  <si>
    <t>diyT_pricing</t>
  </si>
  <si>
    <t>Pricing consistency tests</t>
  </si>
  <si>
    <t>KEY CONCEPTS &amp; METHODOLOGY</t>
  </si>
  <si>
    <t>Risk-Neutral Pricing:</t>
  </si>
  <si>
    <t>Options are priced under the risk-neutral measure where E[ST] = S0 * exp(r*T)</t>
  </si>
  <si>
    <t>Arbitrage-Free Drift:</t>
  </si>
  <si>
    <t>The drift correction mu ensures the discounted stock price is a martingale</t>
  </si>
  <si>
    <t>Fat Tails:</t>
  </si>
  <si>
    <t>Lower degrees of freedom (degf) = fatter tails = more extreme events</t>
  </si>
  <si>
    <t>Asymmetric Distribution:</t>
  </si>
  <si>
    <t>Model 0 allows different left/right tail behaviour (skewness)</t>
  </si>
  <si>
    <t>Normalisation:</t>
  </si>
  <si>
    <t>Review Mode (model=-1):</t>
  </si>
  <si>
    <t>Returns Black-Scholes values instantly without expensive numerical integration</t>
  </si>
  <si>
    <t>S0, K, r, inv_dist, degf_L, degf_R, sigma, tenor, n_pts, model, dont_normalize</t>
  </si>
  <si>
    <t>S0, K, r, inv_dist, degf_L, degf_R, sigma, tenor, n_sims, model, dont_normalize</t>
  </si>
  <si>
    <t>S0, K, r, inv_dist, degf_L, degf_R, sigma, tenor, n_pts, model, dont_normalize, engine</t>
  </si>
  <si>
    <t>Stock1, rate1, time1</t>
  </si>
  <si>
    <t>diy_call_bs_vega</t>
  </si>
  <si>
    <t>Black-Scholes vega</t>
  </si>
  <si>
    <t>Vega (per unit vol)</t>
  </si>
  <si>
    <t>BS implied vol from diy_call_int price</t>
  </si>
  <si>
    <t>Implied volatility</t>
  </si>
  <si>
    <t>p, inv_dist, degf_L, degf_R, n_pts, model, dont_normalize</t>
  </si>
  <si>
    <t>inv_dist, degf_L, degf_R, n_pts, model, dont_normalize</t>
  </si>
  <si>
    <t>diy_asym_T_CDF</t>
  </si>
  <si>
    <t>Asymmetric fat-tailed t CDF</t>
  </si>
  <si>
    <t>x, degf_L, degf_R</t>
  </si>
  <si>
    <t>Cumulative probability</t>
  </si>
  <si>
    <t>diy_asym_T_pdf</t>
  </si>
  <si>
    <t>Asymmetric fat-tailed t PDF</t>
  </si>
  <si>
    <t>Probability density</t>
  </si>
  <si>
    <t>STATISTICAL MOMENT FUNCTIONS</t>
  </si>
  <si>
    <t>diy_skew_X_int</t>
  </si>
  <si>
    <t>Numerical skewness of standardised dist</t>
  </si>
  <si>
    <t>Skewness</t>
  </si>
  <si>
    <t>diy_excess_kurt_X_int</t>
  </si>
  <si>
    <t>Numerical excess kurtosis of standardised dist</t>
  </si>
  <si>
    <t>Excess kurtosis</t>
  </si>
  <si>
    <t>inv_dist, degf_L, degf_R, sigma, tenor, n_pts, model, dont_normalize</t>
  </si>
  <si>
    <t>S0, r, inv_dist, degf_L, degf_R, sigma, tenor, n_pts, model, dont_normalize</t>
  </si>
  <si>
    <t>diyT_case_num</t>
  </si>
  <si>
    <t>Numeric test case with tolerance</t>
  </si>
  <si>
    <t>suite_name, test_name, actual, expected, tol</t>
  </si>
  <si>
    <t>Test result row</t>
  </si>
  <si>
    <t>diyT_case_bool</t>
  </si>
  <si>
    <t>Boolean test case (PASS/FAIL)</t>
  </si>
  <si>
    <t>suite_name, test_name, condition</t>
  </si>
  <si>
    <t>diyT_case_noerr</t>
  </si>
  <si>
    <t>No-error test case</t>
  </si>
  <si>
    <t>suite_name, test_name, expr</t>
  </si>
  <si>
    <t>diyT_header</t>
  </si>
  <si>
    <t>Header row for test tables</t>
  </si>
  <si>
    <t>(none)</t>
  </si>
  <si>
    <t>Header row array</t>
  </si>
  <si>
    <t>When dont_normalize=0, draws are standardised to mean=0, variance=1</t>
  </si>
  <si>
    <t>MATHEMATICAL FRAMEWORK</t>
  </si>
  <si>
    <t>Risk-Neutral Setting:</t>
  </si>
  <si>
    <t>No dividends. Terminal stock price satisfies E[ST] = S0 × exp(r×T)</t>
  </si>
  <si>
    <t>Log Return Definition:</t>
  </si>
  <si>
    <t>R := ln(ST / S0)</t>
  </si>
  <si>
    <t>Return Model:</t>
  </si>
  <si>
    <t>R = (r - μ)×T + σ×√T × X, where X is a standardised random variable</t>
  </si>
  <si>
    <t>Variance Invariance:</t>
  </si>
  <si>
    <t>All distributions share the same return variance: Var(R) = σ²×T</t>
  </si>
  <si>
    <t>This is enforced by requiring: E[X] = 0 and Var(X) = 1</t>
  </si>
  <si>
    <t>Interpretation:</t>
  </si>
  <si>
    <t>Agents may disagree on higher moments (skewness, kurtosis) but agree on historical volatility</t>
  </si>
  <si>
    <t>All admissible distributions are calibrated to the same return variance, differing only in shape</t>
  </si>
  <si>
    <t>Drift Correction:</t>
  </si>
  <si>
    <t>μ is determined endogenously to enforce the martingale condition: E[ST] = S0 × exp(r×T)</t>
  </si>
  <si>
    <t>This ensures arbitrage-free pricing regardless of the distributional assumption</t>
  </si>
  <si>
    <t>Large simulations may corrupt this sheet, so creeate/keep copies of all changes with  Model= -1</t>
  </si>
  <si>
    <t>Minimize  Excel's Adbanced Formula Environment  seems to corrupt sheets (at least the modules portion)</t>
  </si>
  <si>
    <t>📚 Required Lambda Library (alredy loaded  in this spreadsheet)</t>
  </si>
  <si>
    <t>1. Modify input parameters (C16:C20) to match your option</t>
  </si>
  <si>
    <t>3. To run simulations: set Model to 0, 1, or 2 and press F9</t>
  </si>
  <si>
    <t>4. Compare Call_MC and Call_INT columns - they should converge</t>
  </si>
  <si>
    <t>5. Check E(S_T) matches Forward to verify arbitrage-free pricing</t>
  </si>
  <si>
    <t>2. Keep Model (C24) at -1 , when not doing expensive simulations</t>
  </si>
  <si>
    <t>Skew(X)</t>
  </si>
  <si>
    <t>xs_Kurt(X)</t>
  </si>
  <si>
    <t>Call_BS_vega</t>
  </si>
  <si>
    <t>Call_INT_bs_IV</t>
  </si>
  <si>
    <t>(%)</t>
  </si>
  <si>
    <t>TESTS</t>
  </si>
  <si>
    <t>⚙️.    diyT_ MODEL SETTINGS</t>
  </si>
  <si>
    <t xml:space="preserve">Model selector: 0 =  0=Asymmetric-t </t>
  </si>
  <si>
    <t>Model selector: = 1=Symmetric-t</t>
  </si>
  <si>
    <t>Model selector: = 2 =Std. Normal Dist.</t>
  </si>
  <si>
    <t xml:space="preserve">Model selector: -1 = Black-Scholes ( no sumulation done)   </t>
  </si>
  <si>
    <t>MODEL</t>
  </si>
  <si>
    <t>diyT_Primitive</t>
  </si>
  <si>
    <t>diy_call_bs_iv</t>
  </si>
  <si>
    <t>(S0, K, r, tenor, call_price)</t>
  </si>
  <si>
    <t xml:space="preserve">? </t>
  </si>
  <si>
    <t>Call_bs_IV</t>
  </si>
  <si>
    <t>%</t>
  </si>
  <si>
    <t>Sheet is in Manual Calculation Mode -- use  [ F9 ]   to recalculate</t>
  </si>
  <si>
    <t>Each 100 grid points adds about 1Minute of Simulation Time [Apple M1 Pro]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</si>
</sst>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_);\(#,##0.0000\)"/>
  </numFmts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0563C1"/>
      <name val="Aptos Narrow"/>
      <family val="2"/>
      <scheme val="minor"/>
    </font>
    <font>
      <i/>
      <sz val="11"/>
      <color rgb="FF5B9BD5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theme="1"/>
      <name val="Arial Unicode MS"/>
      <family val="2"/>
    </font>
  </fonts>
  <fills count="17">
    <fill>
      <patternFill patternType="none"/>
    </fill>
    <fill>
      <patternFill patternType="gray125"/>
    </fill>
    <fill>
      <patternFill patternType="solid">
        <fgColor rgb="FFFF6B6B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2" fillId="0" borderId="0" xfId="1"/>
    <xf numFmtId="0" fontId="3" fillId="0" borderId="0" xfId="1" applyFont="1"/>
    <xf numFmtId="0" fontId="2" fillId="2" borderId="0" xfId="1" applyFill="1"/>
    <xf numFmtId="0" fontId="4" fillId="2" borderId="0" xfId="1" applyFont="1" applyFill="1"/>
    <xf numFmtId="0" fontId="5" fillId="0" borderId="0" xfId="1" applyFont="1"/>
    <xf numFmtId="0" fontId="2" fillId="3" borderId="0" xfId="1" applyFill="1"/>
    <xf numFmtId="0" fontId="6" fillId="3" borderId="0" xfId="1" applyFont="1" applyFill="1"/>
    <xf numFmtId="0" fontId="2" fillId="4" borderId="0" xfId="1" applyFill="1"/>
    <xf numFmtId="0" fontId="7" fillId="4" borderId="0" xfId="1" applyFont="1" applyFill="1"/>
    <xf numFmtId="0" fontId="8" fillId="0" borderId="0" xfId="1" applyFont="1"/>
    <xf numFmtId="0" fontId="7" fillId="0" borderId="0" xfId="1" applyFont="1"/>
    <xf numFmtId="0" fontId="6" fillId="0" borderId="0" xfId="1" applyFont="1" applyAlignment="1">
      <alignment horizontal="center"/>
    </xf>
    <xf numFmtId="0" fontId="2" fillId="5" borderId="0" xfId="1" applyFill="1"/>
    <xf numFmtId="0" fontId="1" fillId="5" borderId="0" xfId="1" applyFont="1" applyFill="1"/>
    <xf numFmtId="0" fontId="9" fillId="0" borderId="0" xfId="1" applyFont="1"/>
    <xf numFmtId="0" fontId="10" fillId="0" borderId="0" xfId="1" applyFont="1"/>
    <xf numFmtId="0" fontId="1" fillId="6" borderId="0" xfId="1" applyFont="1" applyFill="1"/>
    <xf numFmtId="0" fontId="2" fillId="6" borderId="0" xfId="1" applyFill="1"/>
    <xf numFmtId="0" fontId="7" fillId="7" borderId="0" xfId="1" applyFont="1" applyFill="1" applyAlignment="1">
      <alignment horizontal="center"/>
    </xf>
    <xf numFmtId="0" fontId="2" fillId="0" borderId="0" xfId="1" applyAlignment="1">
      <alignment horizontal="center"/>
    </xf>
    <xf numFmtId="10" fontId="2" fillId="0" borderId="0" xfId="1" applyNumberFormat="1"/>
    <xf numFmtId="2" fontId="2" fillId="0" borderId="0" xfId="1" applyNumberFormat="1"/>
    <xf numFmtId="0" fontId="1" fillId="8" borderId="0" xfId="1" applyFont="1" applyFill="1"/>
    <xf numFmtId="0" fontId="2" fillId="8" borderId="0" xfId="1" applyFill="1" applyAlignment="1">
      <alignment horizontal="center"/>
    </xf>
    <xf numFmtId="0" fontId="2" fillId="8" borderId="0" xfId="1" applyFill="1"/>
    <xf numFmtId="0" fontId="7" fillId="9" borderId="0" xfId="1" applyFont="1" applyFill="1" applyAlignment="1">
      <alignment horizontal="center"/>
    </xf>
    <xf numFmtId="0" fontId="1" fillId="10" borderId="0" xfId="1" applyFont="1" applyFill="1"/>
    <xf numFmtId="0" fontId="2" fillId="10" borderId="0" xfId="1" applyFill="1" applyAlignment="1">
      <alignment horizontal="center"/>
    </xf>
    <xf numFmtId="0" fontId="2" fillId="10" borderId="0" xfId="1" applyFill="1"/>
    <xf numFmtId="0" fontId="7" fillId="11" borderId="0" xfId="1" applyFont="1" applyFill="1" applyAlignment="1">
      <alignment horizontal="center"/>
    </xf>
    <xf numFmtId="0" fontId="1" fillId="12" borderId="0" xfId="1" applyFont="1" applyFill="1"/>
    <xf numFmtId="0" fontId="2" fillId="12" borderId="0" xfId="1" applyFill="1"/>
    <xf numFmtId="0" fontId="11" fillId="0" borderId="0" xfId="1" applyFont="1"/>
    <xf numFmtId="0" fontId="4" fillId="13" borderId="0" xfId="1" applyFont="1" applyFill="1" applyAlignment="1">
      <alignment horizontal="center"/>
    </xf>
    <xf numFmtId="0" fontId="3" fillId="14" borderId="0" xfId="1" applyFont="1" applyFill="1" applyAlignment="1">
      <alignment horizontal="center"/>
    </xf>
    <xf numFmtId="0" fontId="2" fillId="5" borderId="0" xfId="1" applyFill="1" applyAlignment="1">
      <alignment horizontal="center"/>
    </xf>
    <xf numFmtId="3" fontId="2" fillId="5" borderId="0" xfId="1" applyNumberFormat="1" applyFill="1" applyAlignment="1">
      <alignment horizontal="center"/>
    </xf>
    <xf numFmtId="164" fontId="2" fillId="5" borderId="0" xfId="1" applyNumberFormat="1" applyFill="1" applyAlignment="1">
      <alignment horizontal="center"/>
    </xf>
    <xf numFmtId="3" fontId="2" fillId="0" borderId="0" xfId="1" applyNumberFormat="1" applyAlignment="1">
      <alignment horizontal="center"/>
    </xf>
    <xf numFmtId="164" fontId="2" fillId="0" borderId="0" xfId="1" applyNumberFormat="1" applyAlignment="1">
      <alignment horizontal="center"/>
    </xf>
    <xf numFmtId="3" fontId="2" fillId="5" borderId="0" xfId="1" applyNumberFormat="1" applyFill="1" applyAlignment="1">
      <alignment horizontal="center" vertical="center"/>
    </xf>
    <xf numFmtId="164" fontId="2" fillId="5" borderId="0" xfId="1" applyNumberFormat="1" applyFill="1" applyAlignment="1">
      <alignment horizontal="center" vertical="center"/>
    </xf>
    <xf numFmtId="0" fontId="2" fillId="5" borderId="0" xfId="1" applyFill="1" applyAlignment="1">
      <alignment horizontal="center" vertical="center"/>
    </xf>
    <xf numFmtId="0" fontId="12" fillId="0" borderId="0" xfId="1" applyFont="1" applyAlignment="1">
      <alignment horizontal="center"/>
    </xf>
    <xf numFmtId="0" fontId="4" fillId="15" borderId="0" xfId="1" applyFont="1" applyFill="1"/>
    <xf numFmtId="0" fontId="7" fillId="16" borderId="0" xfId="1" applyFont="1" applyFill="1"/>
    <xf numFmtId="0" fontId="2" fillId="16" borderId="0" xfId="1" applyFill="1"/>
    <xf numFmtId="0" fontId="13" fillId="15" borderId="0" xfId="1" applyFont="1" applyFill="1"/>
    <xf numFmtId="0" fontId="1" fillId="0" borderId="0" xfId="1" applyFont="1"/>
    <xf numFmtId="39" fontId="2" fillId="0" borderId="0" xfId="1" applyNumberFormat="1"/>
    <xf numFmtId="165" fontId="2" fillId="5" borderId="0" xfId="1" applyNumberFormat="1" applyFill="1" applyAlignment="1">
      <alignment horizontal="center"/>
    </xf>
    <xf numFmtId="165" fontId="2" fillId="0" borderId="0" xfId="1" applyNumberFormat="1" applyAlignment="1">
      <alignment horizontal="center"/>
    </xf>
    <xf numFmtId="165" fontId="2" fillId="5" borderId="0" xfId="1" applyNumberFormat="1" applyFill="1" applyAlignment="1">
      <alignment horizontal="center" vertical="center"/>
    </xf>
    <xf numFmtId="164" fontId="2" fillId="5" borderId="0" xfId="1" quotePrefix="1" applyNumberFormat="1" applyFill="1" applyAlignment="1">
      <alignment horizontal="center"/>
    </xf>
    <xf numFmtId="165" fontId="2" fillId="5" borderId="0" xfId="1" quotePrefix="1" applyNumberFormat="1" applyFill="1" applyAlignment="1">
      <alignment horizontal="center"/>
    </xf>
    <xf numFmtId="0" fontId="2" fillId="0" borderId="0" xfId="1" quotePrefix="1"/>
    <xf numFmtId="0" fontId="14" fillId="0" borderId="0" xfId="1" applyFont="1" applyAlignment="1">
      <alignment horizontal="center"/>
    </xf>
    <xf numFmtId="0" fontId="14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0" fontId="16" fillId="0" borderId="0" xfId="0" applyFont="1"/>
    <xf numFmtId="0" fontId="3" fillId="0" borderId="0" xfId="1" applyFont="1" applyFill="1" applyAlignment="1">
      <alignment horizontal="left"/>
    </xf>
  </cellXfs>
  <cellStyles count="2">
    <cellStyle name="Normal" xfId="0" builtinId="0"/>
    <cellStyle name="Normal 2" xfId="1" xr:uid="{9A2DC522-D22A-6446-81D8-F4B60D9990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EB4B8D-3308-E846-B5AD-EDD05069CBD4}">
  <we:reference id="wa200003696" version="1.3.0.0" store="en-GB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47FC-38C7-C140-B327-0F131F4FD21D}">
  <sheetPr codeName="Sheet4"/>
  <dimension ref="A1:N120"/>
  <sheetViews>
    <sheetView tabSelected="1" workbookViewId="0">
      <selection activeCell="B34" sqref="B34"/>
    </sheetView>
  </sheetViews>
  <sheetFormatPr baseColWidth="10" defaultColWidth="8.83203125" defaultRowHeight="15" x14ac:dyDescent="0.2"/>
  <cols>
    <col min="1" max="1" width="9" style="1" customWidth="1"/>
    <col min="2" max="2" width="7.5" style="1" customWidth="1"/>
    <col min="3" max="4" width="13.33203125" style="1" customWidth="1"/>
    <col min="5" max="5" width="41.6640625" style="1" customWidth="1"/>
    <col min="6" max="11" width="13.33203125" style="1" customWidth="1"/>
    <col min="12" max="12" width="3.33203125" style="1" customWidth="1"/>
    <col min="13" max="14" width="13.33203125" style="1" customWidth="1"/>
    <col min="15" max="16384" width="8.83203125" style="1"/>
  </cols>
  <sheetData>
    <row r="1" spans="1:14" ht="22" x14ac:dyDescent="0.3">
      <c r="A1" s="16" t="s">
        <v>17</v>
      </c>
    </row>
    <row r="2" spans="1:14" x14ac:dyDescent="0.2">
      <c r="A2" s="15" t="s">
        <v>16</v>
      </c>
    </row>
    <row r="4" spans="1:14" ht="16" x14ac:dyDescent="0.2">
      <c r="B4" s="14" t="s">
        <v>15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x14ac:dyDescent="0.2">
      <c r="B5" s="12">
        <v>1</v>
      </c>
      <c r="C5" s="5" t="s">
        <v>14</v>
      </c>
    </row>
    <row r="6" spans="1:14" x14ac:dyDescent="0.2">
      <c r="B6" s="12">
        <v>2</v>
      </c>
      <c r="C6" s="5" t="s">
        <v>13</v>
      </c>
    </row>
    <row r="7" spans="1:14" x14ac:dyDescent="0.2">
      <c r="B7" s="12">
        <v>3</v>
      </c>
      <c r="C7" s="5" t="s">
        <v>12</v>
      </c>
    </row>
    <row r="8" spans="1:14" x14ac:dyDescent="0.2">
      <c r="B8" s="12">
        <v>4</v>
      </c>
      <c r="C8" s="5" t="s">
        <v>240</v>
      </c>
    </row>
    <row r="9" spans="1:14" x14ac:dyDescent="0.2">
      <c r="B9" s="12">
        <v>5</v>
      </c>
      <c r="C9" s="5" t="s">
        <v>11</v>
      </c>
    </row>
    <row r="10" spans="1:14" x14ac:dyDescent="0.2">
      <c r="B10" s="12">
        <v>6</v>
      </c>
      <c r="C10" s="5" t="s">
        <v>241</v>
      </c>
    </row>
    <row r="12" spans="1:14" x14ac:dyDescent="0.2">
      <c r="B12" s="11" t="s">
        <v>242</v>
      </c>
    </row>
    <row r="13" spans="1:14" x14ac:dyDescent="0.2">
      <c r="B13" s="10" t="s">
        <v>10</v>
      </c>
    </row>
    <row r="16" spans="1:14" x14ac:dyDescent="0.2">
      <c r="B16" s="9" t="s">
        <v>9</v>
      </c>
      <c r="C16" s="8"/>
      <c r="D16" s="8"/>
      <c r="E16" s="8"/>
      <c r="F16" s="8"/>
      <c r="G16" s="8"/>
    </row>
    <row r="17" spans="2:7" x14ac:dyDescent="0.2">
      <c r="B17" s="5"/>
    </row>
    <row r="18" spans="2:7" x14ac:dyDescent="0.2">
      <c r="B18" s="5" t="s">
        <v>243</v>
      </c>
    </row>
    <row r="19" spans="2:7" x14ac:dyDescent="0.2">
      <c r="B19" s="5" t="s">
        <v>247</v>
      </c>
    </row>
    <row r="20" spans="2:7" x14ac:dyDescent="0.2">
      <c r="B20" s="5" t="s">
        <v>244</v>
      </c>
    </row>
    <row r="21" spans="2:7" x14ac:dyDescent="0.2">
      <c r="B21" s="5" t="s">
        <v>245</v>
      </c>
    </row>
    <row r="22" spans="2:7" x14ac:dyDescent="0.2">
      <c r="B22" s="5" t="s">
        <v>246</v>
      </c>
    </row>
    <row r="23" spans="2:7" x14ac:dyDescent="0.2">
      <c r="B23" s="5" t="s">
        <v>8</v>
      </c>
    </row>
    <row r="25" spans="2:7" x14ac:dyDescent="0.2">
      <c r="B25" s="7" t="s">
        <v>7</v>
      </c>
      <c r="C25" s="6"/>
      <c r="D25" s="6"/>
      <c r="E25" s="6"/>
      <c r="F25" s="6"/>
      <c r="G25" s="6"/>
    </row>
    <row r="26" spans="2:7" ht="21" customHeight="1" x14ac:dyDescent="0.2">
      <c r="B26" s="5" t="s">
        <v>6</v>
      </c>
    </row>
    <row r="27" spans="2:7" x14ac:dyDescent="0.2">
      <c r="B27" s="5" t="s">
        <v>5</v>
      </c>
    </row>
    <row r="28" spans="2:7" x14ac:dyDescent="0.2">
      <c r="B28" s="5" t="s">
        <v>4</v>
      </c>
    </row>
    <row r="31" spans="2:7" x14ac:dyDescent="0.2">
      <c r="B31" s="1" t="s">
        <v>3</v>
      </c>
    </row>
    <row r="32" spans="2:7" x14ac:dyDescent="0.2">
      <c r="B32" s="1" t="s">
        <v>2</v>
      </c>
    </row>
    <row r="33" spans="2:2" x14ac:dyDescent="0.2">
      <c r="B33" s="1" t="s">
        <v>1</v>
      </c>
    </row>
    <row r="34" spans="2:2" x14ac:dyDescent="0.2">
      <c r="B34" s="1" t="s">
        <v>0</v>
      </c>
    </row>
    <row r="117" spans="1:7" x14ac:dyDescent="0.2">
      <c r="A117" s="4" t="s">
        <v>3</v>
      </c>
      <c r="B117" s="3"/>
      <c r="C117" s="3"/>
      <c r="D117" s="3"/>
      <c r="E117" s="3"/>
      <c r="F117" s="3"/>
      <c r="G117" s="3"/>
    </row>
    <row r="118" spans="1:7" x14ac:dyDescent="0.2">
      <c r="A118" s="2" t="s">
        <v>2</v>
      </c>
    </row>
    <row r="119" spans="1:7" x14ac:dyDescent="0.2">
      <c r="A119" s="2" t="s">
        <v>1</v>
      </c>
    </row>
    <row r="120" spans="1:7" x14ac:dyDescent="0.2">
      <c r="A120" s="2" t="s"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BD22-92B8-B444-93B9-6A0772F72FC7}">
  <sheetPr codeName="Sheet5"/>
  <dimension ref="A8:S68"/>
  <sheetViews>
    <sheetView topLeftCell="A16" zoomScaleNormal="100" workbookViewId="0">
      <selection activeCell="D64" sqref="D64"/>
    </sheetView>
  </sheetViews>
  <sheetFormatPr baseColWidth="10" defaultRowHeight="15" x14ac:dyDescent="0.2"/>
  <cols>
    <col min="1" max="1" width="10.83203125" style="1"/>
    <col min="2" max="2" width="18.83203125" style="1" customWidth="1"/>
    <col min="3" max="3" width="13.83203125" style="1" customWidth="1"/>
    <col min="4" max="4" width="15.83203125" style="1" customWidth="1"/>
    <col min="5" max="5" width="23" style="1" customWidth="1"/>
    <col min="6" max="11" width="10.83203125" style="1"/>
    <col min="12" max="12" width="24.83203125" style="1" customWidth="1"/>
    <col min="13" max="14" width="15.6640625" style="1" customWidth="1"/>
    <col min="15" max="16384" width="10.83203125" style="1"/>
  </cols>
  <sheetData>
    <row r="8" spans="2:6" ht="16" x14ac:dyDescent="0.2">
      <c r="B8" s="17" t="s">
        <v>18</v>
      </c>
      <c r="C8" s="18"/>
      <c r="D8" s="18"/>
      <c r="E8" s="18"/>
      <c r="F8" s="18"/>
    </row>
    <row r="9" spans="2:6" x14ac:dyDescent="0.2">
      <c r="B9" s="19" t="s">
        <v>19</v>
      </c>
      <c r="C9" s="19" t="s">
        <v>20</v>
      </c>
      <c r="D9" s="19" t="s">
        <v>21</v>
      </c>
      <c r="E9" s="19" t="s">
        <v>22</v>
      </c>
      <c r="F9" s="19" t="s">
        <v>23</v>
      </c>
    </row>
    <row r="10" spans="2:6" x14ac:dyDescent="0.2">
      <c r="B10" s="1" t="s">
        <v>24</v>
      </c>
      <c r="C10" s="20" t="s">
        <v>25</v>
      </c>
      <c r="D10" s="50">
        <v>90</v>
      </c>
      <c r="E10" s="1" t="s">
        <v>26</v>
      </c>
      <c r="F10" s="1" t="s">
        <v>27</v>
      </c>
    </row>
    <row r="11" spans="2:6" x14ac:dyDescent="0.2">
      <c r="B11" s="1" t="s">
        <v>28</v>
      </c>
      <c r="C11" s="20" t="s">
        <v>29</v>
      </c>
      <c r="D11" s="50">
        <v>100</v>
      </c>
      <c r="E11" s="1" t="s">
        <v>26</v>
      </c>
      <c r="F11" s="1" t="s">
        <v>30</v>
      </c>
    </row>
    <row r="12" spans="2:6" x14ac:dyDescent="0.2">
      <c r="B12" s="1" t="s">
        <v>31</v>
      </c>
      <c r="C12" s="20" t="s">
        <v>32</v>
      </c>
      <c r="D12" s="21">
        <v>0.05</v>
      </c>
      <c r="E12" s="1" t="s">
        <v>33</v>
      </c>
      <c r="F12" s="1" t="s">
        <v>34</v>
      </c>
    </row>
    <row r="13" spans="2:6" x14ac:dyDescent="0.2">
      <c r="B13" s="1" t="s">
        <v>35</v>
      </c>
      <c r="C13" s="20" t="s">
        <v>36</v>
      </c>
      <c r="D13" s="21">
        <v>0.4</v>
      </c>
      <c r="E13" s="1" t="s">
        <v>33</v>
      </c>
      <c r="F13" s="1" t="s">
        <v>37</v>
      </c>
    </row>
    <row r="14" spans="2:6" x14ac:dyDescent="0.2">
      <c r="B14" s="1" t="s">
        <v>38</v>
      </c>
      <c r="C14" s="20" t="s">
        <v>39</v>
      </c>
      <c r="D14" s="22">
        <v>1</v>
      </c>
      <c r="E14" s="1" t="s">
        <v>40</v>
      </c>
      <c r="F14" s="1" t="s">
        <v>41</v>
      </c>
    </row>
    <row r="15" spans="2:6" x14ac:dyDescent="0.2">
      <c r="C15" s="20"/>
    </row>
    <row r="16" spans="2:6" x14ac:dyDescent="0.2">
      <c r="C16" s="20"/>
    </row>
    <row r="17" spans="1:13" x14ac:dyDescent="0.2">
      <c r="C17" s="20"/>
    </row>
    <row r="18" spans="1:13" ht="16" x14ac:dyDescent="0.2">
      <c r="B18" s="23" t="s">
        <v>42</v>
      </c>
      <c r="C18" s="24"/>
      <c r="D18" s="25"/>
      <c r="E18" s="25"/>
      <c r="F18" s="25"/>
    </row>
    <row r="19" spans="1:13" x14ac:dyDescent="0.2">
      <c r="B19" s="26" t="s">
        <v>43</v>
      </c>
      <c r="C19" s="26" t="s">
        <v>44</v>
      </c>
      <c r="D19" s="26" t="s">
        <v>45</v>
      </c>
      <c r="E19" s="26" t="s">
        <v>46</v>
      </c>
      <c r="F19" s="26" t="s">
        <v>23</v>
      </c>
    </row>
    <row r="20" spans="1:13" x14ac:dyDescent="0.2">
      <c r="B20" s="20">
        <v>-1</v>
      </c>
      <c r="C20" s="20" t="s">
        <v>47</v>
      </c>
      <c r="D20" s="1" t="s">
        <v>48</v>
      </c>
      <c r="E20" s="1" t="s">
        <v>48</v>
      </c>
      <c r="F20" s="1" t="s">
        <v>49</v>
      </c>
    </row>
    <row r="21" spans="1:13" x14ac:dyDescent="0.2">
      <c r="B21" s="20">
        <v>0</v>
      </c>
      <c r="C21" s="20" t="s">
        <v>50</v>
      </c>
      <c r="D21" s="1" t="s">
        <v>51</v>
      </c>
      <c r="E21" s="1" t="s">
        <v>52</v>
      </c>
      <c r="F21" s="1" t="s">
        <v>53</v>
      </c>
    </row>
    <row r="22" spans="1:13" x14ac:dyDescent="0.2">
      <c r="B22" s="20">
        <v>1</v>
      </c>
      <c r="C22" s="20" t="s">
        <v>54</v>
      </c>
      <c r="D22" s="1" t="s">
        <v>55</v>
      </c>
      <c r="E22" s="1" t="s">
        <v>56</v>
      </c>
      <c r="F22" s="1" t="s">
        <v>57</v>
      </c>
    </row>
    <row r="23" spans="1:13" x14ac:dyDescent="0.2">
      <c r="B23" s="20">
        <v>2</v>
      </c>
      <c r="C23" s="20" t="s">
        <v>58</v>
      </c>
      <c r="D23" s="1" t="s">
        <v>56</v>
      </c>
      <c r="E23" s="1" t="s">
        <v>56</v>
      </c>
      <c r="F23" s="1" t="s">
        <v>59</v>
      </c>
    </row>
    <row r="24" spans="1:13" x14ac:dyDescent="0.2">
      <c r="B24" s="20"/>
      <c r="C24" s="20"/>
      <c r="M24" s="11"/>
    </row>
    <row r="25" spans="1:13" ht="16" x14ac:dyDescent="0.2">
      <c r="B25" s="27" t="s">
        <v>60</v>
      </c>
      <c r="C25" s="28"/>
      <c r="D25" s="29"/>
      <c r="E25" s="29"/>
      <c r="F25" s="29"/>
    </row>
    <row r="26" spans="1:13" x14ac:dyDescent="0.2">
      <c r="B26" s="30" t="s">
        <v>61</v>
      </c>
      <c r="C26" s="30" t="s">
        <v>20</v>
      </c>
      <c r="D26" s="30" t="s">
        <v>21</v>
      </c>
      <c r="E26" s="30"/>
      <c r="F26" s="30" t="s">
        <v>23</v>
      </c>
    </row>
    <row r="27" spans="1:13" x14ac:dyDescent="0.2">
      <c r="B27" s="1" t="s">
        <v>62</v>
      </c>
      <c r="C27" s="20" t="s">
        <v>63</v>
      </c>
      <c r="D27" s="1">
        <v>0</v>
      </c>
      <c r="F27" s="1" t="s">
        <v>64</v>
      </c>
    </row>
    <row r="28" spans="1:13" x14ac:dyDescent="0.2">
      <c r="B28" s="1" t="s">
        <v>65</v>
      </c>
      <c r="C28" s="20" t="s">
        <v>66</v>
      </c>
      <c r="D28" s="1">
        <v>0</v>
      </c>
      <c r="F28" s="1" t="s">
        <v>67</v>
      </c>
    </row>
    <row r="29" spans="1:13" x14ac:dyDescent="0.2">
      <c r="C29" s="20"/>
      <c r="L29" s="56"/>
    </row>
    <row r="30" spans="1:13" x14ac:dyDescent="0.2">
      <c r="B30" s="20"/>
      <c r="C30" s="20"/>
    </row>
    <row r="31" spans="1:13" x14ac:dyDescent="0.2">
      <c r="A31" s="20"/>
      <c r="C31" s="20"/>
    </row>
    <row r="33" spans="1:19" ht="16" x14ac:dyDescent="0.2">
      <c r="A33" s="31" t="s">
        <v>68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</row>
    <row r="34" spans="1:19" x14ac:dyDescent="0.2">
      <c r="A34" s="33" t="s">
        <v>69</v>
      </c>
    </row>
    <row r="36" spans="1:19" x14ac:dyDescent="0.2">
      <c r="A36" s="34" t="s">
        <v>70</v>
      </c>
      <c r="B36" s="34" t="s">
        <v>71</v>
      </c>
      <c r="C36" s="34" t="s">
        <v>72</v>
      </c>
      <c r="D36" s="34" t="s">
        <v>73</v>
      </c>
      <c r="E36" s="34" t="s">
        <v>74</v>
      </c>
      <c r="F36" s="34" t="s">
        <v>75</v>
      </c>
      <c r="G36" s="34" t="s">
        <v>76</v>
      </c>
      <c r="H36" s="34" t="s">
        <v>77</v>
      </c>
      <c r="I36" s="34" t="s">
        <v>78</v>
      </c>
      <c r="J36" s="34" t="s">
        <v>79</v>
      </c>
      <c r="K36" s="34" t="s">
        <v>80</v>
      </c>
      <c r="L36" s="34" t="s">
        <v>264</v>
      </c>
      <c r="M36" s="34" t="s">
        <v>251</v>
      </c>
      <c r="N36" s="34" t="s">
        <v>250</v>
      </c>
      <c r="O36" s="34"/>
      <c r="P36" s="34" t="s">
        <v>81</v>
      </c>
      <c r="Q36" s="34" t="s">
        <v>82</v>
      </c>
      <c r="R36" s="34" t="s">
        <v>248</v>
      </c>
      <c r="S36" s="34" t="s">
        <v>249</v>
      </c>
    </row>
    <row r="37" spans="1:19" x14ac:dyDescent="0.2">
      <c r="A37" s="35" t="s">
        <v>83</v>
      </c>
      <c r="B37" s="35" t="s">
        <v>84</v>
      </c>
      <c r="C37" s="35" t="s">
        <v>85</v>
      </c>
      <c r="D37" s="35" t="s">
        <v>86</v>
      </c>
      <c r="E37" s="35" t="s">
        <v>87</v>
      </c>
      <c r="F37" s="35" t="s">
        <v>88</v>
      </c>
      <c r="G37" s="35" t="s">
        <v>26</v>
      </c>
      <c r="H37" s="35" t="s">
        <v>26</v>
      </c>
      <c r="I37" s="35" t="s">
        <v>26</v>
      </c>
      <c r="J37" s="35" t="s">
        <v>263</v>
      </c>
      <c r="K37" s="35" t="s">
        <v>89</v>
      </c>
      <c r="L37" s="35" t="s">
        <v>252</v>
      </c>
      <c r="M37" s="35" t="s">
        <v>265</v>
      </c>
      <c r="N37" s="35" t="s">
        <v>26</v>
      </c>
      <c r="O37" s="35"/>
      <c r="P37" s="35" t="s">
        <v>90</v>
      </c>
      <c r="Q37" s="35" t="s">
        <v>91</v>
      </c>
      <c r="R37" s="35" t="s">
        <v>91</v>
      </c>
      <c r="S37" s="35" t="s">
        <v>91</v>
      </c>
    </row>
    <row r="38" spans="1:19" x14ac:dyDescent="0.2">
      <c r="A38" s="36" t="s">
        <v>92</v>
      </c>
      <c r="B38" s="37">
        <v>1000</v>
      </c>
      <c r="C38" s="37">
        <v>1000</v>
      </c>
      <c r="D38" s="37">
        <v>100</v>
      </c>
      <c r="E38" s="51" cm="1">
        <f t="array" ref="E38">diy_fwd($D$10,$D$12,$D$14)</f>
        <v>94.614398673842175</v>
      </c>
      <c r="F38" s="51" cm="1">
        <f t="array" ref="F38">diy_exp_ST_int($D$10,$D$12,diy_inv_dist,B38,C38,$D$13,$D$14,D38,$D$27,dn)</f>
        <v>95.044909917470463</v>
      </c>
      <c r="G38" s="52" cm="1">
        <f t="array" ref="G38">diy_call_bs($D$10,$D$11,$D$12,$D$13,$D$14)</f>
        <v>12.249718618667899</v>
      </c>
      <c r="H38" s="51" cm="1">
        <f t="array" ref="H38">diy_call_mc($D$10,$D$11,$D$12,diy_inv_dist,B38,C38,$D$13,$D$14,D38,$D$27,dn)</f>
        <v>12.278082386238031</v>
      </c>
      <c r="I38" s="55" cm="1">
        <f t="array" ref="I38">diy_call_int($D$10,$D$11,$D$12,diy_inv_dist,B38,C38,$D$13,$D$14,D38,$D$27,dn)</f>
        <v>12.535181176503263</v>
      </c>
      <c r="J38" s="38" cm="1">
        <f t="array" ref="J38">diy_call_delta($D$10,$D$11,$D$12,diy_inv_dist,B38,C38,$D$13,$D$14,D38,$D$27,dn,0)</f>
        <v>0.52455288918702081</v>
      </c>
      <c r="K38" s="38" cm="1">
        <f t="array" ref="K38">diy_call_delta($D$10,$D$11,$D$12,diy_inv_dist,B38,C38,$D$13,$D$14,D38,$D$27,dn,1)</f>
        <v>0.53409775021589923</v>
      </c>
      <c r="L38" s="54" cm="1">
        <f t="array" ref="L38">diy_call_bs_iv(stock, strike,rate,time,G38,0.2,20 )</f>
        <v>0.39999999999999986</v>
      </c>
      <c r="M38" s="54" cm="1">
        <f t="array" ref="M38">diy_call_bs_iv(stock, strike,rate,time,I38,0.2,20 )</f>
        <v>0.40796734171310017</v>
      </c>
      <c r="N38" s="38" cm="1">
        <f t="array" ref="N38">diy_call_bs_vega($D$10,$D$11,$D$12,$D$13,$D$14)</f>
        <v>0.358367511949643</v>
      </c>
      <c r="O38" s="36"/>
      <c r="P38" s="38" cm="1">
        <f t="array" ref="P38">diy_mean_X_int(diy_inv_dist,B38,C38,D38,$D$27,dn)</f>
        <v>2.3980817331903383E-16</v>
      </c>
      <c r="Q38" s="54" cm="1">
        <f t="array" ref="Q38">diy_var_X_int(diy_inv_dist,B38,C38,D38,$D$27,dn)</f>
        <v>0.99999999999999978</v>
      </c>
      <c r="R38" s="54" cm="1">
        <f t="array" ref="R38">diy_skew_X_int(diy_inv_dist,B38,C38,D38,$D$27,dn)</f>
        <v>6.3238303482648941E-15</v>
      </c>
      <c r="S38" s="54" cm="1">
        <f t="array" ref="S38">diy_excess_kurt_X_int(diy_inv_dist,B38,C38,D38,$D$27,dn)</f>
        <v>-0.16188255906541116</v>
      </c>
    </row>
    <row r="39" spans="1:19" x14ac:dyDescent="0.2">
      <c r="A39" s="20" t="s">
        <v>93</v>
      </c>
      <c r="B39" s="39">
        <v>500</v>
      </c>
      <c r="C39" s="39">
        <v>500</v>
      </c>
      <c r="D39" s="37">
        <v>100</v>
      </c>
      <c r="E39" s="52" cm="1">
        <f t="array" ref="E39">diy_fwd($D$10,$D$12,$D$14)</f>
        <v>94.614398673842175</v>
      </c>
      <c r="F39" s="52" cm="1">
        <f t="array" ref="F39">diy_exp_ST_int($D$10,$D$12,diy_inv_dist,B39,C39,$D$13,$D$14,D39,$D$27,dn)</f>
        <v>95.060620157004379</v>
      </c>
      <c r="G39" s="52" cm="1">
        <f t="array" ref="G39">diy_call_bs($D$10,$D$11,$D$12,$D$13,$D$14)</f>
        <v>12.249718618667899</v>
      </c>
      <c r="H39" s="52" cm="1">
        <f t="array" ref="H39">diy_call_mc($D$10,$D$11,$D$12,diy_inv_dist,B39,C39,$D$13,$D$14,D39,$D$27,dn)</f>
        <v>12.276161925547312</v>
      </c>
      <c r="I39" s="52" cm="1">
        <f t="array" ref="I39">diy_call_int($D$10,$D$11,$D$12,diy_inv_dist,B39,C39,$D$13,$D$14,D39,$D$27,dn)</f>
        <v>12.533976384018763</v>
      </c>
      <c r="J39" s="40" cm="1">
        <f t="array" ref="J39">diy_call_delta($D$10,$D$11,$D$12,diy_inv_dist,B39,C39,$D$13,$D$14,D39,$D$27,dn,0)</f>
        <v>0.52455288918702081</v>
      </c>
      <c r="K39" s="40" cm="1">
        <f t="array" ref="K39">diy_call_delta($D$10,$D$11,$D$12,diy_inv_dist,B39,C39,$D$13,$D$14,D39,$D$27,dn,1)</f>
        <v>0.53401215390770318</v>
      </c>
      <c r="L39" s="38" cm="1">
        <f t="array" ref="L39">diy_call_bs_iv(stock, strike,rate,time,G39,0.2,20 )</f>
        <v>0.39999999999999986</v>
      </c>
      <c r="M39" s="40" cm="1">
        <f t="array" ref="M39">diy_call_bs_iv(stock, strike,rate,time,I39,0.2,20 )</f>
        <v>0.40793370823425795</v>
      </c>
      <c r="N39" s="40" cm="1">
        <f t="array" ref="N39">diy_call_bs_vega($D$10,$D$11,$D$12,$D$13,$D$14)</f>
        <v>0.358367511949643</v>
      </c>
      <c r="O39" s="20"/>
      <c r="P39" s="40" cm="1">
        <f t="array" ref="P39">diy_mean_X_int(diy_inv_dist,B39,C39,D39,$D$27,dn)</f>
        <v>1.9539925233402755E-16</v>
      </c>
      <c r="Q39" s="40" cm="1">
        <f t="array" ref="Q39">diy_var_X_int(diy_inv_dist,B39,C39,D39,$D$27,dn)</f>
        <v>0.99999999999999956</v>
      </c>
      <c r="R39" s="40" cm="1">
        <f t="array" ref="R39">diy_skew_X_int(diy_inv_dist,B39,C39,D39,$D$27,dn)</f>
        <v>4.6895820560166646E-15</v>
      </c>
      <c r="S39" s="40" cm="1">
        <f t="array" ref="S39">diy_excess_kurt_X_int(diy_inv_dist,B39,C39,D39,$D$27,dn)</f>
        <v>-0.15790668391822527</v>
      </c>
    </row>
    <row r="40" spans="1:19" x14ac:dyDescent="0.2">
      <c r="A40" s="36" t="s">
        <v>94</v>
      </c>
      <c r="B40" s="37">
        <v>100</v>
      </c>
      <c r="C40" s="37">
        <v>100</v>
      </c>
      <c r="D40" s="37">
        <v>100</v>
      </c>
      <c r="E40" s="51" cm="1">
        <f t="array" ref="E40">diy_fwd($D$10,$D$12,$D$14)</f>
        <v>94.614398673842175</v>
      </c>
      <c r="F40" s="51" cm="1">
        <f t="array" ref="F40">diy_exp_ST_int($D$10,$D$12,diy_inv_dist,B40,C40,$D$13,$D$14,D40,$D$27,dn)</f>
        <v>95.188584482636188</v>
      </c>
      <c r="G40" s="52" cm="1">
        <f t="array" ref="G40">diy_call_bs($D$10,$D$11,$D$12,$D$13,$D$14)</f>
        <v>12.249718618667899</v>
      </c>
      <c r="H40" s="51" cm="1">
        <f t="array" ref="H40">diy_call_mc($D$10,$D$11,$D$12,diy_inv_dist,B40,C40,$D$13,$D$14,D40,$D$27,dn)</f>
        <v>12.26058993419052</v>
      </c>
      <c r="I40" s="51" cm="1">
        <f t="array" ref="I40">diy_call_int($D$10,$D$11,$D$12,diy_inv_dist,B40,C40,$D$13,$D$14,D40,$D$27,dn)</f>
        <v>12.524244519564018</v>
      </c>
      <c r="J40" s="38" cm="1">
        <f t="array" ref="J40">diy_call_delta($D$10,$D$11,$D$12,diy_inv_dist,B40,C40,$D$13,$D$14,D40,$D$27,dn,0)</f>
        <v>0.52455288918702081</v>
      </c>
      <c r="K40" s="38" cm="1">
        <f t="array" ref="K40">diy_call_delta($D$10,$D$11,$D$12,diy_inv_dist,B40,C40,$D$13,$D$14,D40,$D$27,dn,1)</f>
        <v>0.5333233897010814</v>
      </c>
      <c r="L40" s="38" cm="1">
        <f t="array" ref="L40">diy_call_bs_iv(stock, strike,rate,time,G40,0.2,20 )</f>
        <v>0.39999999999999986</v>
      </c>
      <c r="M40" s="38" cm="1">
        <f t="array" ref="M40">diy_call_bs_iv(stock, strike,rate,time,I40,0.2,20 )</f>
        <v>0.40766203188844935</v>
      </c>
      <c r="N40" s="38" cm="1">
        <f t="array" ref="N40">diy_call_bs_vega($D$10,$D$11,$D$12,$D$13,$D$14)</f>
        <v>0.358367511949643</v>
      </c>
      <c r="O40" s="36"/>
      <c r="P40" s="38" cm="1">
        <f t="array" ref="P40">diy_mean_X_int(diy_inv_dist,B40,C40,D40,$D$27,dn)</f>
        <v>-2.3092638912203257E-16</v>
      </c>
      <c r="Q40" s="38" cm="1">
        <f t="array" ref="Q40">diy_var_X_int(diy_inv_dist,B40,C40,D40,$D$27,dn)</f>
        <v>0.99999999999999944</v>
      </c>
      <c r="R40" s="38" cm="1">
        <f t="array" ref="R40">diy_skew_X_int(diy_inv_dist,B40,C40,D40,$D$27,dn)</f>
        <v>1.3002932064409845E-14</v>
      </c>
      <c r="S40" s="38" cm="1">
        <f t="array" ref="S40">diy_excess_kurt_X_int(diy_inv_dist,B40,C40,D40,$D$27,dn)</f>
        <v>-0.12540346313324857</v>
      </c>
    </row>
    <row r="41" spans="1:19" x14ac:dyDescent="0.2">
      <c r="A41" s="20" t="s">
        <v>95</v>
      </c>
      <c r="B41" s="39">
        <v>30</v>
      </c>
      <c r="C41" s="39">
        <v>30</v>
      </c>
      <c r="D41" s="37">
        <v>100</v>
      </c>
      <c r="E41" s="52" cm="1">
        <f t="array" ref="E41">diy_fwd($D$10,$D$12,$D$14)</f>
        <v>94.614398673842175</v>
      </c>
      <c r="F41" s="52" cm="1">
        <f t="array" ref="F41">diy_exp_ST_int($D$10,$D$12,diy_inv_dist,B41,C41,$D$13,$D$14,D41,$D$27,dn)</f>
        <v>95.586465163477783</v>
      </c>
      <c r="G41" s="52" cm="1">
        <f t="array" ref="G41">diy_call_bs($D$10,$D$11,$D$12,$D$13,$D$14)</f>
        <v>12.249718618667899</v>
      </c>
      <c r="H41" s="52" cm="1">
        <f t="array" ref="H41">diy_call_mc($D$10,$D$11,$D$12,diy_inv_dist,B41,C41,$D$13,$D$14,D41,$D$27,dn)</f>
        <v>12.212990799512969</v>
      </c>
      <c r="I41" s="52" cm="1">
        <f t="array" ref="I41">diy_call_int($D$10,$D$11,$D$12,diy_inv_dist,B41,C41,$D$13,$D$14,D41,$D$27,dn)</f>
        <v>12.494903567002147</v>
      </c>
      <c r="J41" s="40" cm="1">
        <f t="array" ref="J41">diy_call_delta($D$10,$D$11,$D$12,diy_inv_dist,B41,C41,$D$13,$D$14,D41,$D$27,dn,0)</f>
        <v>0.52455288918702081</v>
      </c>
      <c r="K41" s="40" cm="1">
        <f t="array" ref="K41">diy_call_delta($D$10,$D$11,$D$12,diy_inv_dist,B41,C41,$D$13,$D$14,D41,$D$27,dn,1)</f>
        <v>0.53127408301065415</v>
      </c>
      <c r="L41" s="40" cm="1">
        <f t="array" ref="L41">diy_call_bs_iv(stock, strike,rate,time,G41,0.2,20 )</f>
        <v>0.39999999999999986</v>
      </c>
      <c r="M41" s="40" cm="1">
        <f t="array" ref="M41">diy_call_bs_iv(stock, strike,rate,time,I41,0.2,20 )</f>
        <v>0.40684297024988769</v>
      </c>
      <c r="N41" s="40" cm="1">
        <f t="array" ref="N41">diy_call_bs_vega($D$10,$D$11,$D$12,$D$13,$D$14)</f>
        <v>0.358367511949643</v>
      </c>
      <c r="O41" s="20"/>
      <c r="P41" s="40" cm="1">
        <f t="array" ref="P41">diy_mean_X_int(diy_inv_dist,B41,C41,D41,$D$27,dn)</f>
        <v>1.4210854715202004E-16</v>
      </c>
      <c r="Q41" s="40" cm="1">
        <f t="array" ref="Q41">diy_var_X_int(diy_inv_dist,B41,C41,D41,$D$27,dn)</f>
        <v>0.99999999999999956</v>
      </c>
      <c r="R41" s="40" cm="1">
        <f t="array" ref="R41">diy_skew_X_int(diy_inv_dist,B41,C41,D41,$D$27,dn)</f>
        <v>1.3429257705865904E-14</v>
      </c>
      <c r="S41" s="40" cm="1">
        <f t="array" ref="S41">diy_excess_kurt_X_int(diy_inv_dist,B41,C41,D41,$D$27,dn)</f>
        <v>-2.3084647960737836E-2</v>
      </c>
    </row>
    <row r="42" spans="1:19" x14ac:dyDescent="0.2">
      <c r="A42" s="36" t="s">
        <v>96</v>
      </c>
      <c r="B42" s="41">
        <v>20</v>
      </c>
      <c r="C42" s="41">
        <v>20</v>
      </c>
      <c r="D42" s="37">
        <v>100</v>
      </c>
      <c r="E42" s="53" cm="1">
        <f t="array" ref="E42">diy_fwd($D$10,$D$12,$D$14)</f>
        <v>94.614398673842175</v>
      </c>
      <c r="F42" s="53" cm="1">
        <f t="array" ref="F42">diy_exp_ST_int($D$10,$D$12,diy_inv_dist,B42,C42,$D$13,$D$14,D42,$D$27,dn)</f>
        <v>95.895329831863279</v>
      </c>
      <c r="G42" s="53" cm="1">
        <f t="array" ref="G42">diy_call_bs($D$10,$D$11,$D$12,$D$13,$D$14)</f>
        <v>12.249718618667899</v>
      </c>
      <c r="H42" s="53" cm="1">
        <f t="array" ref="H42">diy_call_mc($D$10,$D$11,$D$12,diy_inv_dist,B42,C42,$D$13,$D$14,D42,$D$27,dn)</f>
        <v>12.178172837375405</v>
      </c>
      <c r="I42" s="53" cm="1">
        <f t="array" ref="I42">diy_call_int($D$10,$D$11,$D$12,diy_inv_dist,B42,C42,$D$13,$D$14,D42,$D$27,dn)</f>
        <v>12.47306799871558</v>
      </c>
      <c r="J42" s="42" cm="1">
        <f t="array" ref="J42">diy_call_delta($D$10,$D$11,$D$12,diy_inv_dist,B42,C42,$D$13,$D$14,D42,$D$27,dn,0)</f>
        <v>0.52455288918702081</v>
      </c>
      <c r="K42" s="42" cm="1">
        <f t="array" ref="K42">diy_call_delta($D$10,$D$11,$D$12,diy_inv_dist,B42,C42,$D$13,$D$14,D42,$D$27,dn,1)</f>
        <v>0.52914285612365575</v>
      </c>
      <c r="L42" s="42" cm="1">
        <f t="array" ref="L42">diy_call_bs_iv(stock, strike,rate,time,G42,0.2,20 )</f>
        <v>0.39999999999999986</v>
      </c>
      <c r="M42" s="42" cm="1">
        <f t="array" ref="M42">diy_call_bs_iv(stock, strike,rate,time,I42,0.2,20 )</f>
        <v>0.40623344818831664</v>
      </c>
      <c r="N42" s="42" cm="1">
        <f t="array" ref="N42">diy_call_bs_vega($D$10,$D$11,$D$12,$D$13,$D$14)</f>
        <v>0.358367511949643</v>
      </c>
      <c r="O42" s="43"/>
      <c r="P42" s="42" cm="1">
        <f t="array" ref="P42">diy_mean_X_int(diy_inv_dist,B42,C42,D42,$D$27,dn)</f>
        <v>4.4408920985006262E-16</v>
      </c>
      <c r="Q42" s="42" cm="1">
        <f t="array" ref="Q42">diy_var_X_int(diy_inv_dist,B42,C42,D42,$D$27,dn)</f>
        <v>0.99999999999999956</v>
      </c>
      <c r="R42" s="42" cm="1">
        <f t="array" ref="R42">diy_skew_X_int(diy_inv_dist,B42,C42,D42,$D$27,dn)</f>
        <v>1.4317436125566029E-14</v>
      </c>
      <c r="S42" s="42" cm="1">
        <f t="array" ref="S42">diy_excess_kurt_X_int(diy_inv_dist,B42,C42,D42,$D$27,dn)</f>
        <v>5.7504376771764232E-2</v>
      </c>
    </row>
    <row r="43" spans="1:19" x14ac:dyDescent="0.2">
      <c r="A43" s="20" t="s">
        <v>97</v>
      </c>
      <c r="B43" s="39">
        <v>10</v>
      </c>
      <c r="C43" s="39">
        <v>10</v>
      </c>
      <c r="D43" s="37">
        <v>100</v>
      </c>
      <c r="E43" s="52" cm="1">
        <f t="array" ref="E43">diy_fwd($D$10,$D$12,$D$14)</f>
        <v>94.614398673842175</v>
      </c>
      <c r="F43" s="52" cm="1">
        <f t="array" ref="F43">diy_exp_ST_int($D$10,$D$12,diy_inv_dist,B43,C43,$D$13,$D$14,D43,$D$27,dn)</f>
        <v>96.970020165615082</v>
      </c>
      <c r="G43" s="52" cm="1">
        <f t="array" ref="G43">diy_call_bs($D$10,$D$11,$D$12,$D$13,$D$14)</f>
        <v>12.249718618667899</v>
      </c>
      <c r="H43" s="52" cm="1">
        <f t="array" ref="H43">diy_call_mc($D$10,$D$11,$D$12,diy_inv_dist,B43,C43,$D$13,$D$14,D43,$D$27,dn)</f>
        <v>12.063975409522213</v>
      </c>
      <c r="I43" s="52" cm="1">
        <f t="array" ref="I43">diy_call_int($D$10,$D$11,$D$12,diy_inv_dist,B43,C43,$D$13,$D$14,D43,$D$27,dn)</f>
        <v>12.403194816463618</v>
      </c>
      <c r="J43" s="40" cm="1">
        <f t="array" ref="J43">diy_call_delta($D$10,$D$11,$D$12,diy_inv_dist,B43,C43,$D$13,$D$14,D43,$D$27,dn,0)</f>
        <v>0.52455288918702081</v>
      </c>
      <c r="K43" s="40" cm="1">
        <f t="array" ref="K43">diy_call_delta($D$10,$D$11,$D$12,diy_inv_dist,B43,C43,$D$13,$D$14,D43,$D$27,dn,1)</f>
        <v>0.52398925802826923</v>
      </c>
      <c r="L43" s="40" cm="1">
        <f t="array" ref="L43">diy_call_bs_iv(stock, strike,rate,time,G43,0.2,20 )</f>
        <v>0.39999999999999986</v>
      </c>
      <c r="M43" s="40" cm="1">
        <f t="array" ref="M43">diy_call_bs_iv(stock, strike,rate,time,I43,0.2,20 )</f>
        <v>0.40428313409500188</v>
      </c>
      <c r="N43" s="40" cm="1">
        <f t="array" ref="N43">diy_call_bs_vega($D$10,$D$11,$D$12,$D$13,$D$14)</f>
        <v>0.358367511949643</v>
      </c>
      <c r="O43" s="20"/>
      <c r="P43" s="40" cm="1">
        <f t="array" ref="P43">diy_mean_X_int(diy_inv_dist,B43,C43,D43,$D$27,dn)</f>
        <v>-1.1546319456101628E-16</v>
      </c>
      <c r="Q43" s="40" cm="1">
        <f t="array" ref="Q43">diy_var_X_int(diy_inv_dist,B43,C43,D43,$D$27,dn)</f>
        <v>1.0000000000000002</v>
      </c>
      <c r="R43" s="40" cm="1">
        <f t="array" ref="R43">diy_skew_X_int(diy_inv_dist,B43,C43,D43,$D$27,dn)</f>
        <v>2.0961010704922947E-14</v>
      </c>
      <c r="S43" s="40" cm="1">
        <f t="array" ref="S43">diy_excess_kurt_X_int(diy_inv_dist,B43,C43,D43,$D$27,dn)</f>
        <v>0.34373389738569005</v>
      </c>
    </row>
    <row r="44" spans="1:19" x14ac:dyDescent="0.2">
      <c r="A44" s="36" t="s">
        <v>98</v>
      </c>
      <c r="B44" s="37">
        <v>5</v>
      </c>
      <c r="C44" s="37">
        <v>5</v>
      </c>
      <c r="D44" s="37">
        <v>100</v>
      </c>
      <c r="E44" s="51" cm="1">
        <f t="array" ref="E44">diy_fwd($D$10,$D$12,$D$14)</f>
        <v>94.614398673842175</v>
      </c>
      <c r="F44" s="51" cm="1">
        <f t="array" ref="F44">diy_exp_ST_int($D$10,$D$12,diy_inv_dist,B44,C44,$D$13,$D$14,D44,$D$27,dn)</f>
        <v>100.09836952679765</v>
      </c>
      <c r="G44" s="51" cm="1">
        <f t="array" ref="G44">diy_call_bs($D$10,$D$11,$D$12,$D$13,$D$14)</f>
        <v>12.249718618667899</v>
      </c>
      <c r="H44" s="51" cm="1">
        <f t="array" ref="H44">diy_call_mc($D$10,$D$11,$D$12,diy_inv_dist,B44,C44,$D$13,$D$14,D44,$D$27,dn)</f>
        <v>11.790816226703438</v>
      </c>
      <c r="I44" s="51" cm="1">
        <f t="array" ref="I44">diy_call_int($D$10,$D$11,$D$12,diy_inv_dist,B44,C44,$D$13,$D$14,D44,$D$27,dn)</f>
        <v>12.254446439173915</v>
      </c>
      <c r="J44" s="38" cm="1">
        <f t="array" ref="J44">diy_call_delta($D$10,$D$11,$D$12,diy_inv_dist,B44,C44,$D$13,$D$14,D44,$D$27,dn,0)</f>
        <v>0.52455288918702081</v>
      </c>
      <c r="K44" s="38" cm="1">
        <f t="array" ref="K44">diy_call_delta($D$10,$D$11,$D$12,diy_inv_dist,B44,C44,$D$13,$D$14,D44,$D$27,dn,1)</f>
        <v>0.51133889776837194</v>
      </c>
      <c r="L44" s="38" cm="1">
        <f t="array" ref="L44">diy_call_bs_iv(stock, strike,rate,time,G44,0.2,20 )</f>
        <v>0.39999999999999986</v>
      </c>
      <c r="M44" s="38" cm="1">
        <f t="array" ref="M44">diy_call_bs_iv(stock, strike,rate,time,I44,0.2,20 )</f>
        <v>0.40013192704720135</v>
      </c>
      <c r="N44" s="38" cm="1">
        <f t="array" ref="N44">diy_call_bs_vega($D$10,$D$11,$D$12,$D$13,$D$14)</f>
        <v>0.358367511949643</v>
      </c>
      <c r="O44" s="36"/>
      <c r="P44" s="38" cm="1">
        <f t="array" ref="P44">diy_mean_X_int(diy_inv_dist,B44,C44,D44,$D$27,dn)</f>
        <v>-2.3092638912203257E-16</v>
      </c>
      <c r="Q44" s="38" cm="1">
        <f t="array" ref="Q44">diy_var_X_int(diy_inv_dist,B44,C44,D44,$D$27,dn)</f>
        <v>1.0000000000000007</v>
      </c>
      <c r="R44" s="38" cm="1">
        <f t="array" ref="R44">diy_skew_X_int(diy_inv_dist,B44,C44,D44,$D$27,dn)</f>
        <v>3.8085090636741328E-14</v>
      </c>
      <c r="S44" s="38" cm="1">
        <f t="array" ref="S44">diy_excess_kurt_X_int(diy_inv_dist,B44,C44,D44,$D$27,dn)</f>
        <v>1.1894687606129972</v>
      </c>
    </row>
    <row r="45" spans="1:19" x14ac:dyDescent="0.2">
      <c r="A45" s="20" t="s">
        <v>99</v>
      </c>
      <c r="B45" s="39">
        <v>3</v>
      </c>
      <c r="C45" s="39">
        <v>3</v>
      </c>
      <c r="D45" s="37">
        <v>100</v>
      </c>
      <c r="E45" s="52" cm="1">
        <f t="array" ref="E45">diy_fwd($D$10,$D$12,$D$14)</f>
        <v>94.614398673842175</v>
      </c>
      <c r="F45" s="52" cm="1">
        <f t="array" ref="F45">diy_exp_ST_int($D$10,$D$12,diy_inv_dist,B45,C45,$D$13,$D$14,D45,$D$27,dn)</f>
        <v>108.77497506069963</v>
      </c>
      <c r="G45" s="52" cm="1">
        <f t="array" ref="G45">diy_call_bs($D$10,$D$11,$D$12,$D$13,$D$14)</f>
        <v>12.249718618667899</v>
      </c>
      <c r="H45" s="52" cm="1">
        <f t="array" ref="H45">diy_call_mc($D$10,$D$11,$D$12,diy_inv_dist,B45,C45,$D$13,$D$14,D45,$D$27,dn)</f>
        <v>11.348661614967414</v>
      </c>
      <c r="I45" s="52" cm="1">
        <f t="array" ref="I45">diy_call_int($D$10,$D$11,$D$12,diy_inv_dist,B45,C45,$D$13,$D$14,D45,$D$27,dn)</f>
        <v>12.06161318308345</v>
      </c>
      <c r="J45" s="40" cm="1">
        <f t="array" ref="J45">diy_call_delta($D$10,$D$11,$D$12,diy_inv_dist,B45,C45,$D$13,$D$14,D45,$D$27,dn,0)</f>
        <v>0.52455288918702081</v>
      </c>
      <c r="K45" s="40" cm="1">
        <f t="array" ref="K45">diy_call_delta($D$10,$D$11,$D$12,diy_inv_dist,B45,C45,$D$13,$D$14,D45,$D$27,dn,1)</f>
        <v>0.48898667574227694</v>
      </c>
      <c r="L45" s="40" cm="1">
        <f t="array" ref="L45">diy_call_bs_iv(stock, strike,rate,time,G45,0.2,20 )</f>
        <v>0.39999999999999986</v>
      </c>
      <c r="M45" s="40" cm="1">
        <f t="array" ref="M45">diy_call_bs_iv(stock, strike,rate,time,I45,0.2,20 )</f>
        <v>0.39475174961096404</v>
      </c>
      <c r="N45" s="40" cm="1">
        <f t="array" ref="N45">diy_call_bs_vega($D$10,$D$11,$D$12,$D$13,$D$14)</f>
        <v>0.358367511949643</v>
      </c>
      <c r="O45" s="20"/>
      <c r="P45" s="40" cm="1">
        <f t="array" ref="P45">diy_mean_X_int(diy_inv_dist,B45,C45,D45,$D$27,dn)</f>
        <v>0</v>
      </c>
      <c r="Q45" s="40" cm="1">
        <f t="array" ref="Q45">diy_var_X_int(diy_inv_dist,B45,C45,D45,$D$27,dn)</f>
        <v>0.99999999999999978</v>
      </c>
      <c r="R45" s="40" cm="1">
        <f t="array" ref="R45">diy_skew_X_int(diy_inv_dist,B45,C45,D45,$D$27,dn)</f>
        <v>8.4199314187571895E-14</v>
      </c>
      <c r="S45" s="40" cm="1">
        <f t="array" ref="S45">diy_excess_kurt_X_int(diy_inv_dist,B45,C45,D45,$D$27,dn)</f>
        <v>3.2246430922168896</v>
      </c>
    </row>
    <row r="46" spans="1:19" x14ac:dyDescent="0.2">
      <c r="A46" s="44" t="s">
        <v>100</v>
      </c>
      <c r="B46" s="39"/>
      <c r="C46" s="39"/>
      <c r="D46" s="39"/>
      <c r="E46" s="52"/>
      <c r="F46" s="52"/>
      <c r="G46" s="52"/>
      <c r="H46" s="52"/>
      <c r="I46" s="52"/>
      <c r="J46" s="40"/>
      <c r="K46" s="40"/>
      <c r="L46" s="40"/>
      <c r="M46" s="40"/>
      <c r="N46" s="40"/>
      <c r="O46" s="20"/>
      <c r="P46" s="40"/>
      <c r="Q46" s="40"/>
      <c r="R46" s="40"/>
      <c r="S46" s="40"/>
    </row>
    <row r="47" spans="1:19" x14ac:dyDescent="0.2">
      <c r="A47" s="20" t="s">
        <v>101</v>
      </c>
      <c r="B47" s="39">
        <v>500</v>
      </c>
      <c r="C47" s="39">
        <v>1000</v>
      </c>
      <c r="D47" s="37">
        <v>100</v>
      </c>
      <c r="E47" s="52" cm="1">
        <f t="array" ref="E47">diy_fwd($D$10,$D$12,$D$14)</f>
        <v>94.614398673842175</v>
      </c>
      <c r="F47" s="52" cm="1">
        <f t="array" ref="F47">diy_exp_ST_int($D$10,$D$12,diy_inv_dist,B47,C47,$D$13,$D$14,D47,$D$27,dn)</f>
        <v>95.040186490463896</v>
      </c>
      <c r="G47" s="52" cm="1">
        <f t="array" ref="G47">diy_call_bs($D$10,$D$11,$D$12,$D$13,$D$14)</f>
        <v>12.249718618667899</v>
      </c>
      <c r="H47" s="52" cm="1">
        <f t="array" ref="H47">diy_call_mc($D$10,$D$11,$D$12,diy_inv_dist,B47,C47,$D$13,$D$14,D47,$D$27,dn)</f>
        <v>12.274056874186419</v>
      </c>
      <c r="I47" s="52" cm="1">
        <f t="array" ref="I47">diy_call_int($D$10,$D$11,$D$12,diy_inv_dist,B47,C47,$D$13,$D$14,D47,$D$27,dn)</f>
        <v>12.530752799305372</v>
      </c>
      <c r="J47" s="40" cm="1">
        <f t="array" ref="J47">diy_call_delta($D$10,$D$11,$D$12,diy_inv_dist,B47,C47,$D$13,$D$14,D47,$D$27,dn,0)</f>
        <v>0.52455288918702081</v>
      </c>
      <c r="K47" s="40" cm="1">
        <f t="array" ref="K47">diy_call_delta($D$10,$D$11,$D$12,diy_inv_dist,B47,C47,$D$13,$D$14,D47,$D$27,dn,1)</f>
        <v>0.53411120635428411</v>
      </c>
      <c r="L47" s="40" cm="1">
        <f t="array" ref="L47">diy_call_bs_iv(stock, strike,rate,time,G47,0.2,20 )</f>
        <v>0.39999999999999986</v>
      </c>
      <c r="M47" s="40" cm="1">
        <f t="array" ref="M47">diy_call_bs_iv(stock, strike,rate,time,I47,0.2,20 )</f>
        <v>0.40784371764349353</v>
      </c>
      <c r="N47" s="40" cm="1">
        <f t="array" ref="N47">diy_call_bs_vega($D$10,$D$11,$D$12,$D$13,$D$14)</f>
        <v>0.358367511949643</v>
      </c>
      <c r="O47" s="20"/>
      <c r="P47" s="40" cm="1">
        <f t="array" ref="P47">diy_mean_X_int(diy_inv_dist,B47,C47,D47,$D$27,dn)</f>
        <v>-1.8207657603852569E-16</v>
      </c>
      <c r="Q47" s="40" cm="1">
        <f t="array" ref="Q47">diy_var_X_int(diy_inv_dist,B47,C47,D47,$D$27,dn)</f>
        <v>0.99999999999999922</v>
      </c>
      <c r="R47" s="40" cm="1">
        <f t="array" ref="R47">diy_skew_X_int(diy_inv_dist,B47,C47,D47,$D$27,dn)</f>
        <v>-1.8058117273302464E-3</v>
      </c>
      <c r="S47" s="40" cm="1">
        <f t="array" ref="S47">diy_excess_kurt_X_int(diy_inv_dist,B47,C47,D47,$D$27,dn)</f>
        <v>-0.1598904147315432</v>
      </c>
    </row>
    <row r="48" spans="1:19" x14ac:dyDescent="0.2">
      <c r="A48" s="36" t="s">
        <v>102</v>
      </c>
      <c r="B48" s="37">
        <v>100</v>
      </c>
      <c r="C48" s="37">
        <v>1000</v>
      </c>
      <c r="D48" s="37">
        <v>100</v>
      </c>
      <c r="E48" s="51" cm="1">
        <f t="array" ref="E48">diy_fwd($D$10,$D$12,$D$14)</f>
        <v>94.614398673842175</v>
      </c>
      <c r="F48" s="51" cm="1">
        <f t="array" ref="F48">diy_exp_ST_int($D$10,$D$12,diy_inv_dist,B48,C48,$D$13,$D$14,D48,$D$27,dn)</f>
        <v>95.002291221797208</v>
      </c>
      <c r="G48" s="51" cm="1">
        <f t="array" ref="G48">diy_call_bs($D$10,$D$11,$D$12,$D$13,$D$14)</f>
        <v>12.249718618667899</v>
      </c>
      <c r="H48" s="51" cm="1">
        <f t="array" ref="H48">diy_call_mc($D$10,$D$11,$D$12,diy_inv_dist,B48,C48,$D$13,$D$14,D48,$D$27,dn)</f>
        <v>12.241433536789451</v>
      </c>
      <c r="I48" s="51" cm="1">
        <f t="array" ref="I48">diy_call_int($D$10,$D$11,$D$12,diy_inv_dist,B48,C48,$D$13,$D$14,D48,$D$27,dn)</f>
        <v>12.494882011248672</v>
      </c>
      <c r="J48" s="38" cm="1">
        <f t="array" ref="J48">diy_call_delta($D$10,$D$11,$D$12,diy_inv_dist,B48,C48,$D$13,$D$14,D48,$D$27,dn,0)</f>
        <v>0.52455288918702081</v>
      </c>
      <c r="K48" s="38" cm="1">
        <f t="array" ref="K48">diy_call_delta($D$10,$D$11,$D$12,diy_inv_dist,B48,C48,$D$13,$D$14,D48,$D$27,dn,1)</f>
        <v>0.53421507444320326</v>
      </c>
      <c r="L48" s="38" cm="1">
        <f t="array" ref="L48">diy_call_bs_iv(stock, strike,rate,time,G48,0.2,20 )</f>
        <v>0.39999999999999986</v>
      </c>
      <c r="M48" s="38" cm="1">
        <f t="array" ref="M48">diy_call_bs_iv(stock, strike,rate,time,I48,0.2,20 )</f>
        <v>0.40684236852835426</v>
      </c>
      <c r="N48" s="38" cm="1">
        <f t="array" ref="N48">diy_call_bs_vega($D$10,$D$11,$D$12,$D$13,$D$14)</f>
        <v>0.358367511949643</v>
      </c>
      <c r="O48" s="36"/>
      <c r="P48" s="38" cm="1">
        <f t="array" ref="P48">diy_mean_X_int(diy_inv_dist,B48,C48,D48,$D$27,dn)</f>
        <v>1.7319479184152443E-16</v>
      </c>
      <c r="Q48" s="38" cm="1">
        <f t="array" ref="Q48">diy_var_X_int(diy_inv_dist,B48,C48,D48,$D$27,dn)</f>
        <v>0.99999999999999922</v>
      </c>
      <c r="R48" s="38" cm="1">
        <f t="array" ref="R48">diy_skew_X_int(diy_inv_dist,B48,C48,D48,$D$27,dn)</f>
        <v>-1.6466567110489855E-2</v>
      </c>
      <c r="S48" s="38" cm="1">
        <f t="array" ref="S48">diy_excess_kurt_X_int(diy_inv_dist,B48,C48,D48,$D$27,dn)</f>
        <v>-0.14329300732290662</v>
      </c>
    </row>
    <row r="49" spans="1:19" x14ac:dyDescent="0.2">
      <c r="A49" s="20" t="s">
        <v>103</v>
      </c>
      <c r="B49" s="39">
        <v>30</v>
      </c>
      <c r="C49" s="39">
        <v>1000</v>
      </c>
      <c r="D49" s="37">
        <v>100</v>
      </c>
      <c r="E49" s="52" cm="1">
        <f t="array" ref="E49">diy_fwd($D$10,$D$12,$D$14)</f>
        <v>94.614398673842175</v>
      </c>
      <c r="F49" s="52" cm="1">
        <f t="array" ref="F49">diy_exp_ST_int($D$10,$D$12,diy_inv_dist,B49,C49,$D$13,$D$14,D49,$D$27,dn)</f>
        <v>94.890730293722442</v>
      </c>
      <c r="G49" s="52" cm="1">
        <f t="array" ref="G49">diy_call_bs($D$10,$D$11,$D$12,$D$13,$D$14)</f>
        <v>12.249718618667899</v>
      </c>
      <c r="H49" s="52" cm="1">
        <f t="array" ref="H49">diy_call_mc($D$10,$D$11,$D$12,diy_inv_dist,B49,C49,$D$13,$D$14,D49,$D$27,dn)</f>
        <v>12.141863673207792</v>
      </c>
      <c r="I49" s="52" cm="1">
        <f t="array" ref="I49">diy_call_int($D$10,$D$11,$D$12,diy_inv_dist,B49,C49,$D$13,$D$14,D49,$D$27,dn)</f>
        <v>12.386100876003427</v>
      </c>
      <c r="J49" s="40" cm="1">
        <f t="array" ref="J49">diy_call_delta($D$10,$D$11,$D$12,diy_inv_dist,B49,C49,$D$13,$D$14,D49,$D$27,dn,0)</f>
        <v>0.52455288918702081</v>
      </c>
      <c r="K49" s="40" cm="1">
        <f t="array" ref="K49">diy_call_delta($D$10,$D$11,$D$12,diy_inv_dist,B49,C49,$D$13,$D$14,D49,$D$27,dn,1)</f>
        <v>0.53447707062342609</v>
      </c>
      <c r="L49" s="40" cm="1">
        <f t="array" ref="L49">diy_call_bs_iv(stock, strike,rate,time,G49,0.2,20 )</f>
        <v>0.39999999999999986</v>
      </c>
      <c r="M49" s="40" cm="1">
        <f t="array" ref="M49">diy_call_bs_iv(stock, strike,rate,time,I49,0.2,20 )</f>
        <v>0.40380603648295016</v>
      </c>
      <c r="N49" s="40" cm="1">
        <f t="array" ref="N49">diy_call_bs_vega($D$10,$D$11,$D$12,$D$13,$D$14)</f>
        <v>0.358367511949643</v>
      </c>
      <c r="O49" s="20"/>
      <c r="P49" s="40" cm="1">
        <f t="array" ref="P49">diy_mean_X_int(diy_inv_dist,B49,C49,D49,$D$27,dn)</f>
        <v>-2.7089441800853819E-16</v>
      </c>
      <c r="Q49" s="40" cm="1">
        <f t="array" ref="Q49">diy_var_X_int(diy_inv_dist,B49,C49,D49,$D$27,dn)</f>
        <v>0.99999999999999989</v>
      </c>
      <c r="R49" s="40" cm="1">
        <f t="array" ref="R49">diy_skew_X_int(diy_inv_dist,B49,C49,D49,$D$27,dn)</f>
        <v>-6.1513964915327832E-2</v>
      </c>
      <c r="S49" s="40" cm="1">
        <f t="array" ref="S49">diy_excess_kurt_X_int(diy_inv_dist,B49,C49,D49,$D$27,dn)</f>
        <v>-8.7591210255926644E-2</v>
      </c>
    </row>
    <row r="50" spans="1:19" x14ac:dyDescent="0.2">
      <c r="A50" s="36" t="s">
        <v>104</v>
      </c>
      <c r="B50" s="37">
        <v>20</v>
      </c>
      <c r="C50" s="37">
        <v>1000</v>
      </c>
      <c r="D50" s="37">
        <v>100</v>
      </c>
      <c r="E50" s="51" cm="1">
        <f t="array" ref="E50">diy_fwd($D$10,$D$12,$D$14)</f>
        <v>94.614398673842175</v>
      </c>
      <c r="F50" s="51" cm="1">
        <f t="array" ref="F50">diy_exp_ST_int($D$10,$D$12,diy_inv_dist,B50,C50,$D$13,$D$14,D50,$D$27,dn)</f>
        <v>94.810194879915002</v>
      </c>
      <c r="G50" s="51" cm="1">
        <f t="array" ref="G50">diy_call_bs($D$10,$D$11,$D$12,$D$13,$D$14)</f>
        <v>12.249718618667899</v>
      </c>
      <c r="H50" s="51" cm="1">
        <f t="array" ref="H50">diy_call_mc($D$10,$D$11,$D$12,diy_inv_dist,B50,C50,$D$13,$D$14,D50,$D$27,dn)</f>
        <v>12.066487593518188</v>
      </c>
      <c r="I50" s="51" cm="1">
        <f t="array" ref="I50">diy_call_int($D$10,$D$11,$D$12,diy_inv_dist,B50,C50,$D$13,$D$14,D50,$D$27,dn)</f>
        <v>12.304608122615392</v>
      </c>
      <c r="J50" s="38" cm="1">
        <f t="array" ref="J50">diy_call_delta($D$10,$D$11,$D$12,diy_inv_dist,B50,C50,$D$13,$D$14,D50,$D$27,dn,0)</f>
        <v>0.52455288918702081</v>
      </c>
      <c r="K50" s="38" cm="1">
        <f t="array" ref="K50">diy_call_delta($D$10,$D$11,$D$12,diy_inv_dist,B50,C50,$D$13,$D$14,D50,$D$27,dn,1)</f>
        <v>0.53462321948092573</v>
      </c>
      <c r="L50" s="38" cm="1">
        <f t="array" ref="L50">diy_call_bs_iv(stock, strike,rate,time,G50,0.2,20 )</f>
        <v>0.39999999999999986</v>
      </c>
      <c r="M50" s="38" cm="1">
        <f t="array" ref="M50">diy_call_bs_iv(stock, strike,rate,time,I50,0.2,20 )</f>
        <v>0.40153171551221112</v>
      </c>
      <c r="N50" s="38" cm="1">
        <f t="array" ref="N50">diy_call_bs_vega($D$10,$D$11,$D$12,$D$13,$D$14)</f>
        <v>0.358367511949643</v>
      </c>
      <c r="O50" s="36"/>
      <c r="P50" s="38" cm="1">
        <f t="array" ref="P50">diy_mean_X_int(diy_inv_dist,B50,C50,D50,$D$27,dn)</f>
        <v>2.9753977059954197E-16</v>
      </c>
      <c r="Q50" s="38" cm="1">
        <f t="array" ref="Q50">diy_var_X_int(diy_inv_dist,B50,C50,D50,$D$27,dn)</f>
        <v>0.99999999999999978</v>
      </c>
      <c r="R50" s="38" cm="1">
        <f t="array" ref="R50">diy_skew_X_int(diy_inv_dist,B50,C50,D50,$D$27,dn)</f>
        <v>-9.5935692129679312E-2</v>
      </c>
      <c r="S50" s="38" cm="1">
        <f t="array" ref="S50">diy_excess_kurt_X_int(diy_inv_dist,B50,C50,D50,$D$27,dn)</f>
        <v>-4.0277440901632655E-2</v>
      </c>
    </row>
    <row r="51" spans="1:19" x14ac:dyDescent="0.2">
      <c r="A51" s="20" t="s">
        <v>105</v>
      </c>
      <c r="B51" s="39">
        <v>10</v>
      </c>
      <c r="C51" s="39">
        <v>1000</v>
      </c>
      <c r="D51" s="37">
        <v>100</v>
      </c>
      <c r="E51" s="52" cm="1">
        <f t="array" ref="E51">diy_fwd($D$10,$D$12,$D$14)</f>
        <v>94.614398673842175</v>
      </c>
      <c r="F51" s="52" cm="1">
        <f t="array" ref="F51">diy_exp_ST_int($D$10,$D$12,diy_inv_dist,B51,C51,$D$13,$D$14,D51,$D$27,dn)</f>
        <v>94.565389228367096</v>
      </c>
      <c r="G51" s="52" cm="1">
        <f t="array" ref="G51">diy_call_bs($D$10,$D$11,$D$12,$D$13,$D$14)</f>
        <v>12.249718618667899</v>
      </c>
      <c r="H51" s="52" cm="1">
        <f t="array" ref="H51">diy_call_mc($D$10,$D$11,$D$12,diy_inv_dist,B51,C51,$D$13,$D$14,D51,$D$27,dn)</f>
        <v>11.817281449683961</v>
      </c>
      <c r="I51" s="52" cm="1">
        <f t="array" ref="I51">diy_call_int($D$10,$D$11,$D$12,diy_inv_dist,B51,C51,$D$13,$D$14,D51,$D$27,dn)</f>
        <v>12.035494010253048</v>
      </c>
      <c r="J51" s="40" cm="1">
        <f t="array" ref="J51">diy_call_delta($D$10,$D$11,$D$12,diy_inv_dist,B51,C51,$D$13,$D$14,D51,$D$27,dn,0)</f>
        <v>0.52455288918702081</v>
      </c>
      <c r="K51" s="40" cm="1">
        <f t="array" ref="K51">diy_call_delta($D$10,$D$11,$D$12,diy_inv_dist,B51,C51,$D$13,$D$14,D51,$D$27,dn,1)</f>
        <v>0.53532077790707611</v>
      </c>
      <c r="L51" s="40" cm="1">
        <f t="array" ref="L51">diy_call_bs_iv(stock, strike,rate,time,G51,0.2,20 )</f>
        <v>0.39999999999999986</v>
      </c>
      <c r="M51" s="40" cm="1">
        <f t="array" ref="M51">diy_call_bs_iv(stock, strike,rate,time,I51,0.2,20 )</f>
        <v>0.39402311804458429</v>
      </c>
      <c r="N51" s="40" cm="1">
        <f t="array" ref="N51">diy_call_bs_vega($D$10,$D$11,$D$12,$D$13,$D$14)</f>
        <v>0.358367511949643</v>
      </c>
      <c r="O51" s="20"/>
      <c r="P51" s="40" cm="1">
        <f t="array" ref="P51">diy_mean_X_int(diy_inv_dist,B51,C51,D51,$D$27,dn)</f>
        <v>1.509903313490213E-16</v>
      </c>
      <c r="Q51" s="40" cm="1">
        <f t="array" ref="Q51">diy_var_X_int(diy_inv_dist,B51,C51,D51,$D$27,dn)</f>
        <v>1.0000000000000002</v>
      </c>
      <c r="R51" s="40" cm="1">
        <f t="array" ref="R51">diy_skew_X_int(diy_inv_dist,B51,C51,D51,$D$27,dn)</f>
        <v>-0.21210847222925125</v>
      </c>
      <c r="S51" s="40" cm="1">
        <f t="array" ref="S51">diy_excess_kurt_X_int(diy_inv_dist,B51,C51,D51,$D$27,dn)</f>
        <v>0.14926769100922765</v>
      </c>
    </row>
    <row r="52" spans="1:19" x14ac:dyDescent="0.2">
      <c r="A52" s="36" t="s">
        <v>106</v>
      </c>
      <c r="B52" s="37">
        <v>5</v>
      </c>
      <c r="C52" s="37">
        <v>1000</v>
      </c>
      <c r="D52" s="37">
        <v>100</v>
      </c>
      <c r="E52" s="51" cm="1">
        <f t="array" ref="E52">diy_fwd($D$10,$D$12,$D$14)</f>
        <v>94.614398673842175</v>
      </c>
      <c r="F52" s="51" cm="1">
        <f t="array" ref="F52">diy_exp_ST_int($D$10,$D$12,diy_inv_dist,B52,C52,$D$13,$D$14,D52,$D$27,dn)</f>
        <v>94.072974659202487</v>
      </c>
      <c r="G52" s="51" cm="1">
        <f t="array" ref="G52">diy_call_bs($D$10,$D$11,$D$12,$D$13,$D$14)</f>
        <v>12.249718618667899</v>
      </c>
      <c r="H52" s="51" cm="1">
        <f t="array" ref="H52">diy_call_mc($D$10,$D$11,$D$12,diy_inv_dist,B52,C52,$D$13,$D$14,D52,$D$27,dn)</f>
        <v>11.199147874373976</v>
      </c>
      <c r="I52" s="51" cm="1">
        <f t="array" ref="I52">diy_call_int($D$10,$D$11,$D$12,diy_inv_dist,B52,C52,$D$13,$D$14,D52,$D$27,dn)</f>
        <v>11.368427512086051</v>
      </c>
      <c r="J52" s="38" cm="1">
        <f t="array" ref="J52">diy_call_delta($D$10,$D$11,$D$12,diy_inv_dist,B52,C52,$D$13,$D$14,D52,$D$27,dn,0)</f>
        <v>0.52455288918702081</v>
      </c>
      <c r="K52" s="38" cm="1">
        <f t="array" ref="K52">diy_call_delta($D$10,$D$11,$D$12,diy_inv_dist,B52,C52,$D$13,$D$14,D52,$D$27,dn,1)</f>
        <v>0.53544178664273012</v>
      </c>
      <c r="L52" s="38" cm="1">
        <f t="array" ref="L52">diy_call_bs_iv(stock, strike,rate,time,G52,0.2,20 )</f>
        <v>0.39999999999999986</v>
      </c>
      <c r="M52" s="38" cm="1">
        <f t="array" ref="M52">diy_call_bs_iv(stock, strike,rate,time,I52,0.2,20 )</f>
        <v>0.37542235465712043</v>
      </c>
      <c r="N52" s="38" cm="1">
        <f t="array" ref="N52">diy_call_bs_vega($D$10,$D$11,$D$12,$D$13,$D$14)</f>
        <v>0.358367511949643</v>
      </c>
      <c r="O52" s="36"/>
      <c r="P52" s="38" cm="1">
        <f t="array" ref="P52">diy_mean_X_int(diy_inv_dist,B52,C52,D52,$D$27,dn)</f>
        <v>-1.8207657603852569E-16</v>
      </c>
      <c r="Q52" s="38" cm="1">
        <f t="array" ref="Q52">diy_var_X_int(diy_inv_dist,B52,C52,D52,$D$27,dn)</f>
        <v>0.99999999999999989</v>
      </c>
      <c r="R52" s="38" cm="1">
        <f t="array" ref="R52">diy_skew_X_int(diy_inv_dist,B52,C52,D52,$D$27,dn)</f>
        <v>-0.51983349146536928</v>
      </c>
      <c r="S52" s="38" cm="1">
        <f t="array" ref="S52">diy_excess_kurt_X_int(diy_inv_dist,B52,C52,D52,$D$27,dn)</f>
        <v>0.86292143868704585</v>
      </c>
    </row>
    <row r="53" spans="1:19" x14ac:dyDescent="0.2">
      <c r="A53" s="20" t="s">
        <v>107</v>
      </c>
      <c r="B53" s="39">
        <v>3</v>
      </c>
      <c r="C53" s="39">
        <v>1000</v>
      </c>
      <c r="D53" s="37">
        <v>100</v>
      </c>
      <c r="E53" s="52" cm="1">
        <f t="array" ref="E53">diy_fwd($D$10,$D$12,$D$14)</f>
        <v>94.614398673842175</v>
      </c>
      <c r="F53" s="52" cm="1">
        <f t="array" ref="F53">diy_exp_ST_int($D$10,$D$12,diy_inv_dist,B53,C53,$D$13,$D$14,D53,$D$27,dn)</f>
        <v>93.463690364801664</v>
      </c>
      <c r="G53" s="52" cm="1">
        <f t="array" ref="G53">diy_call_bs($D$10,$D$11,$D$12,$D$13,$D$14)</f>
        <v>12.249718618667899</v>
      </c>
      <c r="H53" s="52" cm="1">
        <f t="array" ref="H53">diy_call_mc($D$10,$D$11,$D$12,diy_inv_dist,B53,C53,$D$13,$D$14,D53,$D$27,dn)</f>
        <v>10.051865202006871</v>
      </c>
      <c r="I53" s="52" cm="1">
        <f t="array" ref="I53">diy_call_int($D$10,$D$11,$D$12,diy_inv_dist,B53,C53,$D$13,$D$14,D53,$D$27,dn)</f>
        <v>10.146968417022855</v>
      </c>
      <c r="J53" s="40" cm="1">
        <f t="array" ref="J53">diy_call_delta($D$10,$D$11,$D$12,diy_inv_dist,B53,C53,$D$13,$D$14,D53,$D$27,dn,0)</f>
        <v>0.52455288918702081</v>
      </c>
      <c r="K53" s="40" cm="1">
        <f t="array" ref="K53">diy_call_delta($D$10,$D$11,$D$12,diy_inv_dist,B53,C53,$D$13,$D$14,D53,$D$27,dn,1)</f>
        <v>0.53402954928560931</v>
      </c>
      <c r="L53" s="40" cm="1">
        <f t="array" ref="L53">diy_call_bs_iv(stock, strike,rate,time,G53,0.2,20 )</f>
        <v>0.39999999999999986</v>
      </c>
      <c r="M53" s="40" cm="1">
        <f t="array" ref="M53">diy_call_bs_iv(stock, strike,rate,time,I53,0.2,20 )</f>
        <v>0.34139123803459015</v>
      </c>
      <c r="N53" s="40" cm="1">
        <f t="array" ref="N53">diy_call_bs_vega($D$10,$D$11,$D$12,$D$13,$D$14)</f>
        <v>0.358367511949643</v>
      </c>
      <c r="O53" s="20"/>
      <c r="P53" s="40" cm="1">
        <f t="array" ref="P53">diy_mean_X_int(diy_inv_dist,B53,C53,D53,$D$27,dn)</f>
        <v>0</v>
      </c>
      <c r="Q53" s="40" cm="1">
        <f t="array" ref="Q53">diy_var_X_int(diy_inv_dist,B53,C53,D53,$D$27,dn)</f>
        <v>1</v>
      </c>
      <c r="R53" s="40" cm="1">
        <f t="array" ref="R53">diy_skew_X_int(diy_inv_dist,B53,C53,D53,$D$27,dn)</f>
        <v>-1.1643007748989509</v>
      </c>
      <c r="S53" s="40" cm="1">
        <f t="array" ref="S53">diy_excess_kurt_X_int(diy_inv_dist,B53,C53,D53,$D$27,dn)</f>
        <v>3.2272929753728095</v>
      </c>
    </row>
    <row r="54" spans="1:19" x14ac:dyDescent="0.2">
      <c r="A54" s="44" t="s">
        <v>108</v>
      </c>
      <c r="B54" s="39"/>
      <c r="C54" s="39"/>
      <c r="D54" s="39"/>
      <c r="E54" s="52"/>
      <c r="F54" s="52"/>
      <c r="G54" s="52"/>
      <c r="H54" s="52"/>
      <c r="I54" s="52"/>
      <c r="J54" s="40"/>
      <c r="K54" s="40"/>
      <c r="L54" s="40"/>
      <c r="M54" s="40"/>
      <c r="N54" s="40"/>
      <c r="O54" s="20"/>
      <c r="P54" s="40"/>
      <c r="Q54" s="40"/>
      <c r="R54" s="40"/>
      <c r="S54" s="40"/>
    </row>
    <row r="55" spans="1:19" x14ac:dyDescent="0.2">
      <c r="A55" s="20" t="s">
        <v>109</v>
      </c>
      <c r="B55" s="39">
        <v>1000</v>
      </c>
      <c r="C55" s="39">
        <v>500</v>
      </c>
      <c r="D55" s="37">
        <v>100</v>
      </c>
      <c r="E55" s="52" cm="1">
        <f t="array" ref="E55">diy_fwd($D$10,$D$12,$D$14)</f>
        <v>94.614398673842175</v>
      </c>
      <c r="F55" s="52" cm="1">
        <f t="array" ref="F55">diy_exp_ST_int($D$10,$D$12,diy_inv_dist,B55,C55,$D$13,$D$14,D55,$D$27,dn)</f>
        <v>95.065344015404122</v>
      </c>
      <c r="G55" s="52" cm="1">
        <f t="array" ref="G55">diy_call_bs($D$10,$D$11,$D$12,$D$13,$D$14)</f>
        <v>12.249718618667899</v>
      </c>
      <c r="H55" s="52" cm="1">
        <f t="array" ref="H55">diy_call_mc($D$10,$D$11,$D$12,diy_inv_dist,B55,C55,$D$13,$D$14,D55,$D$27,dn)</f>
        <v>12.280185078906888</v>
      </c>
      <c r="I55" s="52" cm="1">
        <f t="array" ref="I55">diy_call_int($D$10,$D$11,$D$12,diy_inv_dist,B55,C55,$D$13,$D$14,D55,$D$27,dn)</f>
        <v>12.538403224512471</v>
      </c>
      <c r="J55" s="40" cm="1">
        <f t="array" ref="J55">diy_call_delta($D$10,$D$11,$D$12,diy_inv_dist,B55,C55,$D$13,$D$14,D55,$D$27,dn,0)</f>
        <v>0.52455288918702081</v>
      </c>
      <c r="K55" s="40" cm="1">
        <f t="array" ref="K55">diy_call_delta($D$10,$D$11,$D$12,diy_inv_dist,B55,C55,$D$13,$D$14,D55,$D$27,dn,1)</f>
        <v>0.53399863908016343</v>
      </c>
      <c r="L55" s="40" cm="1">
        <f t="array" ref="L55">diy_call_bs_iv(stock, strike,rate,time,G55,0.2,20 )</f>
        <v>0.39999999999999986</v>
      </c>
      <c r="M55" s="40" cm="1">
        <f t="array" ref="M55">diy_call_bs_iv(stock, strike,rate,time,I55,0.2,20 )</f>
        <v>0.40805729003675806</v>
      </c>
      <c r="N55" s="40" cm="1">
        <f t="array" ref="N55">diy_call_bs_vega($D$10,$D$11,$D$12,$D$13,$D$14)</f>
        <v>0.358367511949643</v>
      </c>
      <c r="O55" s="20"/>
      <c r="P55" s="40" cm="1">
        <f t="array" ref="P55">diy_mean_X_int(diy_inv_dist,B55,C55,D55,$D$27,dn)</f>
        <v>3.9523939676655573E-16</v>
      </c>
      <c r="Q55" s="40" cm="1">
        <f t="array" ref="Q55">diy_var_X_int(diy_inv_dist,B55,C55,D55,$D$27,dn)</f>
        <v>1</v>
      </c>
      <c r="R55" s="40" cm="1">
        <f t="array" ref="R55">diy_skew_X_int(diy_inv_dist,B55,C55,D55,$D$27,dn)</f>
        <v>1.8058117273407248E-3</v>
      </c>
      <c r="S55" s="40" cm="1">
        <f t="array" ref="S55">diy_excess_kurt_X_int(diy_inv_dist,B55,C55,D55,$D$27,dn)</f>
        <v>-0.15989041473155696</v>
      </c>
    </row>
    <row r="56" spans="1:19" x14ac:dyDescent="0.2">
      <c r="A56" s="36" t="s">
        <v>110</v>
      </c>
      <c r="B56" s="37">
        <v>1000</v>
      </c>
      <c r="C56" s="37">
        <v>100</v>
      </c>
      <c r="D56" s="37">
        <v>100</v>
      </c>
      <c r="E56" s="51" cm="1">
        <f t="array" ref="E56">diy_fwd($D$10,$D$12,$D$14)</f>
        <v>94.614398673842175</v>
      </c>
      <c r="F56" s="51" cm="1">
        <f t="array" ref="F56">diy_exp_ST_int($D$10,$D$12,diy_inv_dist,B56,C56,$D$13,$D$14,D56,$D$27,dn)</f>
        <v>95.231239143144762</v>
      </c>
      <c r="G56" s="51" cm="1">
        <f t="array" ref="G56">diy_call_bs($D$10,$D$11,$D$12,$D$13,$D$14)</f>
        <v>12.249718618667899</v>
      </c>
      <c r="H56" s="51" cm="1">
        <f t="array" ref="H56">diy_call_mc($D$10,$D$11,$D$12,diy_inv_dist,B56,C56,$D$13,$D$14,D56,$D$27,dn)</f>
        <v>12.297044942692196</v>
      </c>
      <c r="I56" s="51" cm="1">
        <f t="array" ref="I56">diy_call_int($D$10,$D$11,$D$12,diy_inv_dist,B56,C56,$D$13,$D$14,D56,$D$27,dn)</f>
        <v>12.564418229336681</v>
      </c>
      <c r="J56" s="38" cm="1">
        <f t="array" ref="J56">diy_call_delta($D$10,$D$11,$D$12,diy_inv_dist,B56,C56,$D$13,$D$14,D56,$D$27,dn,0)</f>
        <v>0.52455288918702081</v>
      </c>
      <c r="K56" s="38" cm="1">
        <f t="array" ref="K56">diy_call_delta($D$10,$D$11,$D$12,diy_inv_dist,B56,C56,$D$13,$D$14,D56,$D$27,dn,1)</f>
        <v>0.53320126116370403</v>
      </c>
      <c r="L56" s="38" cm="1">
        <f t="array" ref="L56">diy_call_bs_iv(stock, strike,rate,time,G56,0.2,20 )</f>
        <v>0.39999999999999986</v>
      </c>
      <c r="M56" s="38" cm="1">
        <f t="array" ref="M56">diy_call_bs_iv(stock, strike,rate,time,I56,0.2,20 )</f>
        <v>0.40878355498717517</v>
      </c>
      <c r="N56" s="38" cm="1">
        <f t="array" ref="N56">diy_call_bs_vega($D$10,$D$11,$D$12,$D$13,$D$14)</f>
        <v>0.358367511949643</v>
      </c>
      <c r="O56" s="36"/>
      <c r="P56" s="38" cm="1">
        <f t="array" ref="P56">diy_mean_X_int(diy_inv_dist,B56,C56,D56,$D$27,dn)</f>
        <v>-2.5313084961453572E-16</v>
      </c>
      <c r="Q56" s="38" cm="1">
        <f t="array" ref="Q56">diy_var_X_int(diy_inv_dist,B56,C56,D56,$D$27,dn)</f>
        <v>0.99999999999999956</v>
      </c>
      <c r="R56" s="38" cm="1">
        <f t="array" ref="R56">diy_skew_X_int(diy_inv_dist,B56,C56,D56,$D$27,dn)</f>
        <v>1.6466567110509919E-2</v>
      </c>
      <c r="S56" s="38" cm="1">
        <f t="array" ref="S56">diy_excess_kurt_X_int(diy_inv_dist,B56,C56,D56,$D$27,dn)</f>
        <v>-0.14329300732290751</v>
      </c>
    </row>
    <row r="57" spans="1:19" x14ac:dyDescent="0.2">
      <c r="A57" s="20" t="s">
        <v>111</v>
      </c>
      <c r="B57" s="39">
        <v>1000</v>
      </c>
      <c r="C57" s="39">
        <v>30</v>
      </c>
      <c r="D57" s="37">
        <v>100</v>
      </c>
      <c r="E57" s="52" cm="1">
        <f t="array" ref="E57">diy_fwd($D$10,$D$12,$D$14)</f>
        <v>94.614398673842175</v>
      </c>
      <c r="F57" s="52" cm="1">
        <f t="array" ref="F57">diy_exp_ST_int($D$10,$D$12,diy_inv_dist,B57,C57,$D$13,$D$14,D57,$D$27,dn)</f>
        <v>95.741149758515931</v>
      </c>
      <c r="G57" s="52" cm="1">
        <f t="array" ref="G57">diy_call_bs($D$10,$D$11,$D$12,$D$13,$D$14)</f>
        <v>12.249718618667899</v>
      </c>
      <c r="H57" s="52" cm="1">
        <f t="array" ref="H57">diy_call_mc($D$10,$D$11,$D$12,diy_inv_dist,B57,C57,$D$13,$D$14,D57,$D$27,dn)</f>
        <v>12.348399703973289</v>
      </c>
      <c r="I57" s="52" cm="1">
        <f t="array" ref="I57">diy_call_int($D$10,$D$11,$D$12,diy_inv_dist,B57,C57,$D$13,$D$14,D57,$D$27,dn)</f>
        <v>12.642840329805864</v>
      </c>
      <c r="J57" s="40" cm="1">
        <f t="array" ref="J57">diy_call_delta($D$10,$D$11,$D$12,diy_inv_dist,B57,C57,$D$13,$D$14,D57,$D$27,dn,0)</f>
        <v>0.52455288918702081</v>
      </c>
      <c r="K57" s="40" cm="1">
        <f t="array" ref="K57">diy_call_delta($D$10,$D$11,$D$12,diy_inv_dist,B57,C57,$D$13,$D$14,D57,$D$27,dn,1)</f>
        <v>0.53034542865711032</v>
      </c>
      <c r="L57" s="40" cm="1">
        <f t="array" ref="L57">diy_call_bs_iv(stock, strike,rate,time,G57,0.2,20 )</f>
        <v>0.39999999999999986</v>
      </c>
      <c r="M57" s="40" cm="1">
        <f t="array" ref="M57">diy_call_bs_iv(stock, strike,rate,time,I57,0.2,20 )</f>
        <v>0.41097306089562996</v>
      </c>
      <c r="N57" s="40" cm="1">
        <f t="array" ref="N57">diy_call_bs_vega($D$10,$D$11,$D$12,$D$13,$D$14)</f>
        <v>0.358367511949643</v>
      </c>
      <c r="O57" s="20"/>
      <c r="P57" s="40" cm="1">
        <f t="array" ref="P57">diy_mean_X_int(diy_inv_dist,B57,C57,D57,$D$27,dn)</f>
        <v>-2.6201263381153693E-16</v>
      </c>
      <c r="Q57" s="40" cm="1">
        <f t="array" ref="Q57">diy_var_X_int(diy_inv_dist,B57,C57,D57,$D$27,dn)</f>
        <v>0.99999999999999956</v>
      </c>
      <c r="R57" s="40" cm="1">
        <f t="array" ref="R57">diy_skew_X_int(diy_inv_dist,B57,C57,D57,$D$27,dn)</f>
        <v>6.1513964915350071E-2</v>
      </c>
      <c r="S57" s="40" cm="1">
        <f t="array" ref="S57">diy_excess_kurt_X_int(diy_inv_dist,B57,C57,D57,$D$27,dn)</f>
        <v>-8.7591210255913765E-2</v>
      </c>
    </row>
    <row r="58" spans="1:19" x14ac:dyDescent="0.2">
      <c r="A58" s="36" t="s">
        <v>112</v>
      </c>
      <c r="B58" s="37">
        <v>1000</v>
      </c>
      <c r="C58" s="37">
        <v>20</v>
      </c>
      <c r="D58" s="37">
        <v>100</v>
      </c>
      <c r="E58" s="51" cm="1">
        <f t="array" ref="E58">diy_fwd($D$10,$D$12,$D$14)</f>
        <v>94.614398673842175</v>
      </c>
      <c r="F58" s="51" cm="1">
        <f t="array" ref="F58">diy_exp_ST_int($D$10,$D$12,diy_inv_dist,B58,C58,$D$13,$D$14,D58,$D$27,dn)</f>
        <v>96.131276545056849</v>
      </c>
      <c r="G58" s="51" cm="1">
        <f t="array" ref="G58">diy_call_bs($D$10,$D$11,$D$12,$D$13,$D$14)</f>
        <v>12.249718618667899</v>
      </c>
      <c r="H58" s="51" cm="1">
        <f t="array" ref="H58">diy_call_mc($D$10,$D$11,$D$12,diy_inv_dist,B58,C58,$D$13,$D$14,D58,$D$27,dn)</f>
        <v>12.38698869898438</v>
      </c>
      <c r="I58" s="51" cm="1">
        <f t="array" ref="I58">diy_call_int($D$10,$D$11,$D$12,diy_inv_dist,B58,C58,$D$13,$D$14,D58,$D$27,dn)</f>
        <v>12.70135627732556</v>
      </c>
      <c r="J58" s="38" cm="1">
        <f t="array" ref="J58">diy_call_delta($D$10,$D$11,$D$12,diy_inv_dist,B58,C58,$D$13,$D$14,D58,$D$27,dn,0)</f>
        <v>0.52455288918702081</v>
      </c>
      <c r="K58" s="38" cm="1">
        <f t="array" ref="K58">diy_call_delta($D$10,$D$11,$D$12,diy_inv_dist,B58,C58,$D$13,$D$14,D58,$D$27,dn,1)</f>
        <v>0.52858229514708732</v>
      </c>
      <c r="L58" s="38" cm="1">
        <f t="array" ref="L58">diy_call_bs_iv(stock, strike,rate,time,G58,0.2,20 )</f>
        <v>0.39999999999999986</v>
      </c>
      <c r="M58" s="38" cm="1">
        <f t="array" ref="M58">diy_call_bs_iv(stock, strike,rate,time,I58,0.2,20 )</f>
        <v>0.41260697961546877</v>
      </c>
      <c r="N58" s="38" cm="1">
        <f t="array" ref="N58">diy_call_bs_vega($D$10,$D$11,$D$12,$D$13,$D$14)</f>
        <v>0.358367511949643</v>
      </c>
      <c r="O58" s="36"/>
      <c r="P58" s="38" cm="1">
        <f t="array" ref="P58">diy_mean_X_int(diy_inv_dist,B58,C58,D58,$D$27,dn)</f>
        <v>1.9984014443252818E-16</v>
      </c>
      <c r="Q58" s="38" cm="1">
        <f t="array" ref="Q58">diy_var_X_int(diy_inv_dist,B58,C58,D58,$D$27,dn)</f>
        <v>0.99999999999999978</v>
      </c>
      <c r="R58" s="38" cm="1">
        <f t="array" ref="R58">diy_skew_X_int(diy_inv_dist,B58,C58,D58,$D$27,dn)</f>
        <v>9.5935692129700698E-2</v>
      </c>
      <c r="S58" s="38" cm="1">
        <f t="array" ref="S58">diy_excess_kurt_X_int(diy_inv_dist,B58,C58,D58,$D$27,dn)</f>
        <v>-4.0277440901619332E-2</v>
      </c>
    </row>
    <row r="59" spans="1:19" x14ac:dyDescent="0.2">
      <c r="A59" s="20" t="s">
        <v>113</v>
      </c>
      <c r="B59" s="39">
        <v>1000</v>
      </c>
      <c r="C59" s="39">
        <v>10</v>
      </c>
      <c r="D59" s="37">
        <v>100</v>
      </c>
      <c r="E59" s="52" cm="1">
        <f t="array" ref="E59">diy_fwd($D$10,$D$12,$D$14)</f>
        <v>94.614398673842175</v>
      </c>
      <c r="F59" s="52" cm="1">
        <f t="array" ref="F59">diy_exp_ST_int($D$10,$D$12,diy_inv_dist,B59,C59,$D$13,$D$14,D59,$D$27,dn)</f>
        <v>97.455559380028077</v>
      </c>
      <c r="G59" s="52" cm="1">
        <f t="array" ref="G59">diy_call_bs($D$10,$D$11,$D$12,$D$13,$D$14)</f>
        <v>12.249718618667899</v>
      </c>
      <c r="H59" s="52" cm="1">
        <f t="array" ref="H59">diy_call_mc($D$10,$D$11,$D$12,diy_inv_dist,B59,C59,$D$13,$D$14,D59,$D$27,dn)</f>
        <v>12.508810975083955</v>
      </c>
      <c r="I59" s="52" cm="1">
        <f t="array" ref="I59">diy_call_int($D$10,$D$11,$D$12,diy_inv_dist,B59,C59,$D$13,$D$14,D59,$D$27,dn)</f>
        <v>12.89735506869353</v>
      </c>
      <c r="J59" s="40" cm="1">
        <f t="array" ref="J59">diy_call_delta($D$10,$D$11,$D$12,diy_inv_dist,B59,C59,$D$13,$D$14,D59,$D$27,dn,0)</f>
        <v>0.52455288918702081</v>
      </c>
      <c r="K59" s="40" cm="1">
        <f t="array" ref="K59">diy_call_delta($D$10,$D$11,$D$12,diy_inv_dist,B59,C59,$D$13,$D$14,D59,$D$27,dn,1)</f>
        <v>0.52256624871807844</v>
      </c>
      <c r="L59" s="40" cm="1">
        <f t="array" ref="L59">diy_call_bs_iv(stock, strike,rate,time,G59,0.2,20 )</f>
        <v>0.39999999999999986</v>
      </c>
      <c r="M59" s="40" cm="1">
        <f t="array" ref="M59">diy_call_bs_iv(stock, strike,rate,time,I59,0.2,20 )</f>
        <v>0.41808095169778631</v>
      </c>
      <c r="N59" s="40" cm="1">
        <f t="array" ref="N59">diy_call_bs_vega($D$10,$D$11,$D$12,$D$13,$D$14)</f>
        <v>0.358367511949643</v>
      </c>
      <c r="O59" s="20"/>
      <c r="P59" s="40" cm="1">
        <f t="array" ref="P59">diy_mean_X_int(diy_inv_dist,B59,C59,D59,$D$27,dn)</f>
        <v>0</v>
      </c>
      <c r="Q59" s="40" cm="1">
        <f t="array" ref="Q59">diy_var_X_int(diy_inv_dist,B59,C59,D59,$D$27,dn)</f>
        <v>1.0000000000000007</v>
      </c>
      <c r="R59" s="40" cm="1">
        <f t="array" ref="R59">diy_skew_X_int(diy_inv_dist,B59,C59,D59,$D$27,dn)</f>
        <v>0.21210847222927923</v>
      </c>
      <c r="S59" s="40" cm="1">
        <f t="array" ref="S59">diy_excess_kurt_X_int(diy_inv_dist,B59,C59,D59,$D$27,dn)</f>
        <v>0.14926769100926718</v>
      </c>
    </row>
    <row r="60" spans="1:19" x14ac:dyDescent="0.2">
      <c r="A60" s="36" t="s">
        <v>114</v>
      </c>
      <c r="B60" s="37">
        <v>1000</v>
      </c>
      <c r="C60" s="37">
        <v>5</v>
      </c>
      <c r="D60" s="37">
        <v>100</v>
      </c>
      <c r="E60" s="51" cm="1">
        <f t="array" ref="E60">diy_fwd($D$10,$D$12,$D$14)</f>
        <v>94.614398673842175</v>
      </c>
      <c r="F60" s="51" cm="1">
        <f t="array" ref="F60">diy_exp_ST_int($D$10,$D$12,diy_inv_dist,B60,C60,$D$13,$D$14,D60,$D$27,dn)</f>
        <v>101.10474608349648</v>
      </c>
      <c r="G60" s="51" cm="1">
        <f t="array" ref="G60">diy_call_bs($D$10,$D$11,$D$12,$D$13,$D$14)</f>
        <v>12.249718618667899</v>
      </c>
      <c r="H60" s="51" cm="1">
        <f t="array" ref="H60">diy_call_mc($D$10,$D$11,$D$12,diy_inv_dist,B60,C60,$D$13,$D$14,D60,$D$27,dn)</f>
        <v>12.79954706789044</v>
      </c>
      <c r="I60" s="51" cm="1">
        <f t="array" ref="I60">diy_call_int($D$10,$D$11,$D$12,diy_inv_dist,B60,C60,$D$13,$D$14,D60,$D$27,dn)</f>
        <v>13.40006907525694</v>
      </c>
      <c r="J60" s="38" cm="1">
        <f t="array" ref="J60">diy_call_delta($D$10,$D$11,$D$12,diy_inv_dist,B60,C60,$D$13,$D$14,D60,$D$27,dn,0)</f>
        <v>0.52455288918702081</v>
      </c>
      <c r="K60" s="38" cm="1">
        <f t="array" ref="K60">diy_call_delta($D$10,$D$11,$D$12,diy_inv_dist,B60,C60,$D$13,$D$14,D60,$D$27,dn,1)</f>
        <v>0.5099299890040605</v>
      </c>
      <c r="L60" s="38" cm="1">
        <f t="array" ref="L60">diy_call_bs_iv(stock, strike,rate,time,G60,0.2,20 )</f>
        <v>0.39999999999999986</v>
      </c>
      <c r="M60" s="38" cm="1">
        <f t="array" ref="M60">diy_call_bs_iv(stock, strike,rate,time,I60,0.2,20 )</f>
        <v>0.43212984087803585</v>
      </c>
      <c r="N60" s="38" cm="1">
        <f t="array" ref="N60">diy_call_bs_vega($D$10,$D$11,$D$12,$D$13,$D$14)</f>
        <v>0.358367511949643</v>
      </c>
      <c r="O60" s="36"/>
      <c r="P60" s="38" cm="1">
        <f t="array" ref="P60">diy_mean_X_int(diy_inv_dist,B60,C60,D60,$D$27,dn)</f>
        <v>-2.2204460492503131E-16</v>
      </c>
      <c r="Q60" s="38" cm="1">
        <f t="array" ref="Q60">diy_var_X_int(diy_inv_dist,B60,C60,D60,$D$27,dn)</f>
        <v>0.99999999999999978</v>
      </c>
      <c r="R60" s="38" cm="1">
        <f t="array" ref="R60">diy_skew_X_int(diy_inv_dist,B60,C60,D60,$D$27,dn)</f>
        <v>0.51983349146541624</v>
      </c>
      <c r="S60" s="38" cm="1">
        <f t="array" ref="S60">diy_excess_kurt_X_int(diy_inv_dist,B60,C60,D60,$D$27,dn)</f>
        <v>0.86292143868717686</v>
      </c>
    </row>
    <row r="61" spans="1:19" x14ac:dyDescent="0.2">
      <c r="A61" s="20" t="s">
        <v>115</v>
      </c>
      <c r="B61" s="39">
        <v>1000</v>
      </c>
      <c r="C61" s="39">
        <v>3</v>
      </c>
      <c r="D61" s="37">
        <v>100</v>
      </c>
      <c r="E61" s="52" cm="1">
        <f t="array" ref="E61">diy_fwd($D$10,$D$12,$D$14)</f>
        <v>94.614398673842175</v>
      </c>
      <c r="F61" s="52" cm="1">
        <f t="array" ref="F61">diy_exp_ST_int($D$10,$D$12,diy_inv_dist,B61,C61,$D$13,$D$14,D61,$D$27,dn)</f>
        <v>110.49921202740435</v>
      </c>
      <c r="G61" s="52" cm="1">
        <f t="array" ref="G61">diy_call_bs($D$10,$D$11,$D$12,$D$13,$D$14)</f>
        <v>12.249718618667899</v>
      </c>
      <c r="H61" s="52" cm="1">
        <f t="array" ref="H61">diy_call_mc($D$10,$D$11,$D$12,diy_inv_dist,B61,C61,$D$13,$D$14,D61,$D$27,dn)</f>
        <v>13.370847498625793</v>
      </c>
      <c r="I61" s="52" cm="1">
        <f t="array" ref="I61">diy_call_int($D$10,$D$11,$D$12,diy_inv_dist,B61,C61,$D$13,$D$14,D61,$D$27,dn)</f>
        <v>14.46922349430838</v>
      </c>
      <c r="J61" s="40" cm="1">
        <f t="array" ref="J61">diy_call_delta($D$10,$D$11,$D$12,diy_inv_dist,B61,C61,$D$13,$D$14,D61,$D$27,dn,0)</f>
        <v>0.52455288918702081</v>
      </c>
      <c r="K61" s="40" cm="1">
        <f t="array" ref="K61">diy_call_delta($D$10,$D$11,$D$12,diy_inv_dist,B61,C61,$D$13,$D$14,D61,$D$27,dn,1)</f>
        <v>0.49060911127120832</v>
      </c>
      <c r="L61" s="40" cm="1">
        <f t="array" ref="L61">diy_call_bs_iv(stock, strike,rate,time,G61,0.2,20 )</f>
        <v>0.39999999999999986</v>
      </c>
      <c r="M61" s="40" cm="1">
        <f t="array" ref="M61">diy_call_bs_iv(stock, strike,rate,time,I61,0.2,20 )</f>
        <v>0.462056278262576</v>
      </c>
      <c r="N61" s="40" cm="1">
        <f t="array" ref="N61">diy_call_bs_vega($D$10,$D$11,$D$12,$D$13,$D$14)</f>
        <v>0.358367511949643</v>
      </c>
      <c r="O61" s="20"/>
      <c r="P61" s="40" cm="1">
        <f t="array" ref="P61">diy_mean_X_int(diy_inv_dist,B61,C61,D61,$D$27,dn)</f>
        <v>-1.4210854715202004E-16</v>
      </c>
      <c r="Q61" s="40" cm="1">
        <f t="array" ref="Q61">diy_var_X_int(diy_inv_dist,B61,C61,D61,$D$27,dn)</f>
        <v>0.99999999999999978</v>
      </c>
      <c r="R61" s="40" cm="1">
        <f t="array" ref="R61">diy_skew_X_int(diy_inv_dist,B61,C61,D61,$D$27,dn)</f>
        <v>1.164300774899049</v>
      </c>
      <c r="S61" s="40" cm="1">
        <f t="array" ref="S61">diy_excess_kurt_X_int(diy_inv_dist,B61,C61,D61,$D$27,dn)</f>
        <v>3.2272929753733122</v>
      </c>
    </row>
    <row r="63" spans="1:19" x14ac:dyDescent="0.2">
      <c r="D63" s="61" t="s">
        <v>267</v>
      </c>
    </row>
    <row r="64" spans="1:19" x14ac:dyDescent="0.2">
      <c r="D64" s="61" t="s">
        <v>266</v>
      </c>
    </row>
    <row r="65" spans="1:1" x14ac:dyDescent="0.2">
      <c r="A65" s="1" t="s">
        <v>3</v>
      </c>
    </row>
    <row r="66" spans="1:1" x14ac:dyDescent="0.2">
      <c r="A66" s="1" t="s">
        <v>2</v>
      </c>
    </row>
    <row r="67" spans="1:1" x14ac:dyDescent="0.2">
      <c r="A67" s="1" t="s">
        <v>1</v>
      </c>
    </row>
    <row r="68" spans="1:1" x14ac:dyDescent="0.2">
      <c r="A68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98DF-656A-1B47-A900-B7886404F95B}">
  <sheetPr codeName="Sheet6"/>
  <dimension ref="A1:H94"/>
  <sheetViews>
    <sheetView workbookViewId="0"/>
  </sheetViews>
  <sheetFormatPr baseColWidth="10" defaultRowHeight="15" x14ac:dyDescent="0.2"/>
  <cols>
    <col min="1" max="1" width="34.1640625" style="1" bestFit="1" customWidth="1"/>
    <col min="2" max="2" width="60" style="1" bestFit="1" customWidth="1"/>
    <col min="3" max="3" width="86.5" style="1" customWidth="1"/>
    <col min="4" max="4" width="18" style="1" bestFit="1" customWidth="1"/>
    <col min="5" max="5" width="15.6640625" style="1" customWidth="1"/>
    <col min="6" max="16384" width="10.83203125" style="1"/>
  </cols>
  <sheetData>
    <row r="1" spans="1:7" ht="19" x14ac:dyDescent="0.25">
      <c r="A1" s="48" t="s">
        <v>116</v>
      </c>
      <c r="B1" s="48"/>
      <c r="C1" s="48"/>
      <c r="D1" s="48"/>
      <c r="E1" s="45"/>
      <c r="F1" s="45"/>
      <c r="G1" s="45"/>
    </row>
    <row r="2" spans="1:7" x14ac:dyDescent="0.2">
      <c r="A2" s="45" t="s">
        <v>117</v>
      </c>
      <c r="B2" s="45" t="s">
        <v>118</v>
      </c>
      <c r="C2" s="45" t="s">
        <v>119</v>
      </c>
      <c r="D2" s="45" t="s">
        <v>120</v>
      </c>
      <c r="E2" s="45"/>
      <c r="F2" s="45"/>
      <c r="G2" s="45"/>
    </row>
    <row r="3" spans="1:7" x14ac:dyDescent="0.2">
      <c r="A3" s="45" t="s">
        <v>121</v>
      </c>
      <c r="B3" s="45"/>
      <c r="C3" s="45"/>
      <c r="D3" s="45"/>
      <c r="E3" s="45"/>
      <c r="F3" s="45"/>
      <c r="G3" s="45"/>
    </row>
    <row r="4" spans="1:7" x14ac:dyDescent="0.2">
      <c r="A4" s="1" t="s">
        <v>122</v>
      </c>
      <c r="B4" s="1" t="s">
        <v>123</v>
      </c>
      <c r="C4" s="1" t="s">
        <v>124</v>
      </c>
      <c r="D4" s="1" t="s">
        <v>125</v>
      </c>
    </row>
    <row r="5" spans="1:7" x14ac:dyDescent="0.2">
      <c r="A5" s="1" t="s">
        <v>126</v>
      </c>
      <c r="B5" s="1" t="s">
        <v>127</v>
      </c>
      <c r="C5" s="1" t="s">
        <v>182</v>
      </c>
      <c r="D5" s="1" t="s">
        <v>125</v>
      </c>
    </row>
    <row r="6" spans="1:7" x14ac:dyDescent="0.2">
      <c r="A6" s="1" t="s">
        <v>128</v>
      </c>
      <c r="B6" s="1" t="s">
        <v>129</v>
      </c>
      <c r="C6" s="1" t="s">
        <v>183</v>
      </c>
      <c r="D6" s="1" t="s">
        <v>125</v>
      </c>
    </row>
    <row r="7" spans="1:7" x14ac:dyDescent="0.2">
      <c r="A7" s="1" t="s">
        <v>130</v>
      </c>
      <c r="B7" s="1" t="s">
        <v>131</v>
      </c>
      <c r="C7" s="1" t="s">
        <v>184</v>
      </c>
      <c r="D7" s="1" t="s">
        <v>132</v>
      </c>
    </row>
    <row r="8" spans="1:7" x14ac:dyDescent="0.2">
      <c r="A8" s="1" t="s">
        <v>133</v>
      </c>
      <c r="B8" s="1" t="s">
        <v>134</v>
      </c>
      <c r="C8" s="1" t="s">
        <v>185</v>
      </c>
      <c r="D8" s="1" t="s">
        <v>135</v>
      </c>
    </row>
    <row r="9" spans="1:7" x14ac:dyDescent="0.2">
      <c r="A9" s="1" t="s">
        <v>186</v>
      </c>
      <c r="B9" s="1" t="s">
        <v>187</v>
      </c>
      <c r="C9" s="1" t="s">
        <v>124</v>
      </c>
      <c r="D9" s="1" t="s">
        <v>188</v>
      </c>
    </row>
    <row r="10" spans="1:7" ht="16" x14ac:dyDescent="0.25">
      <c r="A10" s="60" t="s">
        <v>261</v>
      </c>
      <c r="B10" s="1" t="s">
        <v>189</v>
      </c>
      <c r="C10" s="1" t="s">
        <v>262</v>
      </c>
      <c r="D10" s="1" t="s">
        <v>190</v>
      </c>
    </row>
    <row r="13" spans="1:7" x14ac:dyDescent="0.2">
      <c r="A13" s="45" t="s">
        <v>136</v>
      </c>
      <c r="B13" s="45"/>
      <c r="C13" s="45"/>
      <c r="D13" s="45"/>
      <c r="E13" s="45"/>
      <c r="F13" s="45"/>
      <c r="G13" s="45"/>
    </row>
    <row r="14" spans="1:7" x14ac:dyDescent="0.2">
      <c r="A14" s="1" t="s">
        <v>137</v>
      </c>
      <c r="B14" s="1" t="s">
        <v>138</v>
      </c>
      <c r="C14" s="1" t="s">
        <v>139</v>
      </c>
      <c r="D14" s="1" t="s">
        <v>140</v>
      </c>
    </row>
    <row r="15" spans="1:7" x14ac:dyDescent="0.2">
      <c r="A15" s="1" t="s">
        <v>141</v>
      </c>
      <c r="B15" s="1" t="s">
        <v>142</v>
      </c>
      <c r="C15" s="1" t="s">
        <v>191</v>
      </c>
      <c r="D15" s="1" t="s">
        <v>143</v>
      </c>
    </row>
    <row r="16" spans="1:7" x14ac:dyDescent="0.2">
      <c r="A16" s="1" t="s">
        <v>144</v>
      </c>
      <c r="B16" s="1" t="s">
        <v>145</v>
      </c>
      <c r="C16" s="1" t="s">
        <v>192</v>
      </c>
      <c r="D16" s="1" t="s">
        <v>146</v>
      </c>
    </row>
    <row r="17" spans="1:7" x14ac:dyDescent="0.2">
      <c r="A17" s="11" t="s">
        <v>193</v>
      </c>
      <c r="B17" s="1" t="s">
        <v>194</v>
      </c>
      <c r="C17" s="1" t="s">
        <v>195</v>
      </c>
      <c r="D17" s="1" t="s">
        <v>196</v>
      </c>
    </row>
    <row r="18" spans="1:7" x14ac:dyDescent="0.2">
      <c r="A18" s="1" t="s">
        <v>197</v>
      </c>
      <c r="B18" s="1" t="s">
        <v>198</v>
      </c>
      <c r="C18" s="1" t="s">
        <v>195</v>
      </c>
      <c r="D18" s="1" t="s">
        <v>199</v>
      </c>
    </row>
    <row r="20" spans="1:7" x14ac:dyDescent="0.2">
      <c r="A20" s="45" t="s">
        <v>200</v>
      </c>
      <c r="B20" s="45"/>
      <c r="C20" s="45"/>
      <c r="D20" s="45"/>
      <c r="E20" s="45"/>
      <c r="F20" s="45"/>
      <c r="G20" s="45"/>
    </row>
    <row r="21" spans="1:7" x14ac:dyDescent="0.2">
      <c r="A21" s="46" t="s">
        <v>147</v>
      </c>
      <c r="B21" s="47" t="s">
        <v>148</v>
      </c>
      <c r="C21" s="47" t="s">
        <v>192</v>
      </c>
      <c r="D21" s="47" t="s">
        <v>149</v>
      </c>
      <c r="E21" s="47"/>
      <c r="F21" s="47"/>
      <c r="G21" s="47"/>
    </row>
    <row r="22" spans="1:7" x14ac:dyDescent="0.2">
      <c r="A22" s="1" t="s">
        <v>150</v>
      </c>
      <c r="B22" s="1" t="s">
        <v>151</v>
      </c>
      <c r="C22" s="1" t="s">
        <v>192</v>
      </c>
      <c r="D22" s="1" t="s">
        <v>152</v>
      </c>
    </row>
    <row r="23" spans="1:7" x14ac:dyDescent="0.2">
      <c r="A23" s="1" t="s">
        <v>201</v>
      </c>
      <c r="B23" s="1" t="s">
        <v>202</v>
      </c>
      <c r="C23" s="1" t="s">
        <v>192</v>
      </c>
      <c r="D23" s="1" t="s">
        <v>203</v>
      </c>
    </row>
    <row r="24" spans="1:7" x14ac:dyDescent="0.2">
      <c r="A24" s="1" t="s">
        <v>204</v>
      </c>
      <c r="B24" s="1" t="s">
        <v>205</v>
      </c>
      <c r="C24" s="1" t="s">
        <v>192</v>
      </c>
      <c r="D24" s="1" t="s">
        <v>206</v>
      </c>
    </row>
    <row r="26" spans="1:7" x14ac:dyDescent="0.2">
      <c r="A26" s="45" t="s">
        <v>153</v>
      </c>
      <c r="B26" s="45"/>
      <c r="C26" s="45"/>
      <c r="D26" s="45"/>
      <c r="E26" s="45"/>
      <c r="F26" s="45"/>
      <c r="G26" s="45"/>
    </row>
    <row r="27" spans="1:7" x14ac:dyDescent="0.2">
      <c r="A27" s="1" t="s">
        <v>154</v>
      </c>
      <c r="B27" s="1" t="s">
        <v>155</v>
      </c>
      <c r="C27" s="1" t="s">
        <v>207</v>
      </c>
      <c r="D27" s="1" t="s">
        <v>156</v>
      </c>
    </row>
    <row r="28" spans="1:7" ht="16" x14ac:dyDescent="0.2">
      <c r="A28" s="49" t="s">
        <v>157</v>
      </c>
      <c r="B28" s="1" t="s">
        <v>158</v>
      </c>
      <c r="C28" s="1" t="s">
        <v>208</v>
      </c>
      <c r="D28" s="1" t="s">
        <v>159</v>
      </c>
    </row>
    <row r="29" spans="1:7" x14ac:dyDescent="0.2">
      <c r="A29" s="11"/>
    </row>
    <row r="30" spans="1:7" x14ac:dyDescent="0.2">
      <c r="A30" s="45" t="s">
        <v>160</v>
      </c>
      <c r="B30" s="45"/>
      <c r="C30" s="45"/>
      <c r="D30" s="45"/>
      <c r="E30" s="45"/>
      <c r="F30" s="45"/>
      <c r="G30" s="45"/>
    </row>
    <row r="31" spans="1:7" x14ac:dyDescent="0.2">
      <c r="A31" s="11" t="s">
        <v>209</v>
      </c>
      <c r="B31" s="1" t="s">
        <v>210</v>
      </c>
      <c r="C31" s="1" t="s">
        <v>211</v>
      </c>
      <c r="D31" s="1" t="s">
        <v>212</v>
      </c>
    </row>
    <row r="32" spans="1:7" x14ac:dyDescent="0.2">
      <c r="A32" s="11" t="s">
        <v>213</v>
      </c>
      <c r="B32" s="1" t="s">
        <v>214</v>
      </c>
      <c r="C32" s="1" t="s">
        <v>215</v>
      </c>
      <c r="D32" s="1" t="s">
        <v>212</v>
      </c>
    </row>
    <row r="33" spans="1:7" x14ac:dyDescent="0.2">
      <c r="A33" s="11" t="s">
        <v>216</v>
      </c>
      <c r="B33" s="1" t="s">
        <v>217</v>
      </c>
      <c r="C33" s="1" t="s">
        <v>218</v>
      </c>
      <c r="D33" s="1" t="s">
        <v>212</v>
      </c>
    </row>
    <row r="34" spans="1:7" x14ac:dyDescent="0.2">
      <c r="A34" s="11" t="s">
        <v>219</v>
      </c>
      <c r="B34" s="1" t="s">
        <v>220</v>
      </c>
      <c r="C34" s="1" t="s">
        <v>221</v>
      </c>
      <c r="D34" s="1" t="s">
        <v>222</v>
      </c>
    </row>
    <row r="35" spans="1:7" x14ac:dyDescent="0.2">
      <c r="A35" s="1" t="s">
        <v>161</v>
      </c>
      <c r="B35" s="1" t="s">
        <v>162</v>
      </c>
      <c r="C35" s="1" t="s">
        <v>63</v>
      </c>
      <c r="D35" s="1" t="s">
        <v>163</v>
      </c>
    </row>
    <row r="36" spans="1:7" x14ac:dyDescent="0.2">
      <c r="A36" s="1" t="s">
        <v>164</v>
      </c>
      <c r="B36" s="1" t="s">
        <v>165</v>
      </c>
      <c r="C36" s="1" t="s">
        <v>63</v>
      </c>
      <c r="D36" s="1" t="s">
        <v>163</v>
      </c>
    </row>
    <row r="37" spans="1:7" x14ac:dyDescent="0.2">
      <c r="A37" s="1" t="s">
        <v>166</v>
      </c>
      <c r="B37" s="1" t="s">
        <v>167</v>
      </c>
      <c r="C37" s="1" t="s">
        <v>63</v>
      </c>
      <c r="D37" s="1" t="s">
        <v>163</v>
      </c>
    </row>
    <row r="38" spans="1:7" x14ac:dyDescent="0.2">
      <c r="A38" s="1" t="s">
        <v>168</v>
      </c>
      <c r="B38" s="1" t="s">
        <v>169</v>
      </c>
      <c r="C38" s="1" t="s">
        <v>63</v>
      </c>
      <c r="D38" s="1" t="s">
        <v>163</v>
      </c>
    </row>
    <row r="41" spans="1:7" x14ac:dyDescent="0.2">
      <c r="A41" s="45" t="s">
        <v>170</v>
      </c>
      <c r="B41" s="45"/>
      <c r="C41" s="45"/>
      <c r="D41" s="45"/>
      <c r="E41" s="45"/>
      <c r="F41" s="45"/>
      <c r="G41" s="45"/>
    </row>
    <row r="42" spans="1:7" x14ac:dyDescent="0.2">
      <c r="A42" s="1" t="s">
        <v>171</v>
      </c>
      <c r="B42" s="1" t="s">
        <v>172</v>
      </c>
    </row>
    <row r="43" spans="1:7" x14ac:dyDescent="0.2">
      <c r="A43" s="1" t="s">
        <v>173</v>
      </c>
      <c r="B43" s="1" t="s">
        <v>174</v>
      </c>
    </row>
    <row r="44" spans="1:7" x14ac:dyDescent="0.2">
      <c r="A44" s="1" t="s">
        <v>175</v>
      </c>
      <c r="B44" s="1" t="s">
        <v>176</v>
      </c>
    </row>
    <row r="45" spans="1:7" x14ac:dyDescent="0.2">
      <c r="A45" s="1" t="s">
        <v>177</v>
      </c>
      <c r="B45" s="1" t="s">
        <v>178</v>
      </c>
    </row>
    <row r="46" spans="1:7" x14ac:dyDescent="0.2">
      <c r="A46" s="1" t="s">
        <v>179</v>
      </c>
      <c r="B46" s="1" t="s">
        <v>223</v>
      </c>
    </row>
    <row r="47" spans="1:7" x14ac:dyDescent="0.2">
      <c r="A47" s="1" t="s">
        <v>180</v>
      </c>
      <c r="B47" s="1" t="s">
        <v>181</v>
      </c>
    </row>
    <row r="50" spans="1:7" x14ac:dyDescent="0.2">
      <c r="A50" s="45" t="s">
        <v>224</v>
      </c>
      <c r="B50" s="45"/>
      <c r="C50" s="45"/>
      <c r="D50" s="45"/>
      <c r="E50" s="45"/>
      <c r="F50" s="45"/>
      <c r="G50" s="45"/>
    </row>
    <row r="52" spans="1:7" x14ac:dyDescent="0.2">
      <c r="A52" s="11" t="s">
        <v>225</v>
      </c>
      <c r="B52" s="1" t="s">
        <v>226</v>
      </c>
    </row>
    <row r="53" spans="1:7" x14ac:dyDescent="0.2">
      <c r="A53" s="11" t="s">
        <v>227</v>
      </c>
      <c r="B53" s="1" t="s">
        <v>228</v>
      </c>
    </row>
    <row r="54" spans="1:7" x14ac:dyDescent="0.2">
      <c r="A54" s="11" t="s">
        <v>229</v>
      </c>
      <c r="B54" s="1" t="s">
        <v>230</v>
      </c>
    </row>
    <row r="55" spans="1:7" x14ac:dyDescent="0.2">
      <c r="A55" s="11" t="s">
        <v>231</v>
      </c>
      <c r="B55" s="1" t="s">
        <v>232</v>
      </c>
    </row>
    <row r="56" spans="1:7" x14ac:dyDescent="0.2">
      <c r="B56" s="1" t="s">
        <v>233</v>
      </c>
    </row>
    <row r="57" spans="1:7" x14ac:dyDescent="0.2">
      <c r="A57" s="11" t="s">
        <v>234</v>
      </c>
      <c r="B57" s="1" t="s">
        <v>235</v>
      </c>
    </row>
    <row r="58" spans="1:7" x14ac:dyDescent="0.2">
      <c r="B58" s="1" t="s">
        <v>236</v>
      </c>
    </row>
    <row r="59" spans="1:7" x14ac:dyDescent="0.2">
      <c r="A59" s="11" t="s">
        <v>237</v>
      </c>
      <c r="B59" s="1" t="s">
        <v>238</v>
      </c>
    </row>
    <row r="60" spans="1:7" x14ac:dyDescent="0.2">
      <c r="B60" s="1" t="s">
        <v>239</v>
      </c>
    </row>
    <row r="63" spans="1:7" x14ac:dyDescent="0.2">
      <c r="A63" s="45" t="s">
        <v>253</v>
      </c>
      <c r="B63" s="45"/>
      <c r="C63" s="45"/>
      <c r="D63" s="45"/>
      <c r="E63" s="45"/>
      <c r="F63" s="45"/>
      <c r="G63" s="45"/>
    </row>
    <row r="66" spans="1:8" ht="16" x14ac:dyDescent="0.2">
      <c r="A66" s="27" t="s">
        <v>254</v>
      </c>
      <c r="B66" s="28"/>
      <c r="C66" s="29"/>
      <c r="D66" s="29"/>
      <c r="E66" s="29"/>
    </row>
    <row r="67" spans="1:8" x14ac:dyDescent="0.2">
      <c r="A67" s="30" t="s">
        <v>20</v>
      </c>
      <c r="B67" s="30" t="s">
        <v>21</v>
      </c>
      <c r="C67" s="30" t="s">
        <v>23</v>
      </c>
    </row>
    <row r="68" spans="1:8" x14ac:dyDescent="0.2">
      <c r="A68" s="20" t="s">
        <v>63</v>
      </c>
      <c r="B68" s="1">
        <v>-1</v>
      </c>
      <c r="C68" s="1" t="s">
        <v>258</v>
      </c>
    </row>
    <row r="69" spans="1:8" x14ac:dyDescent="0.2">
      <c r="A69" s="20" t="s">
        <v>63</v>
      </c>
      <c r="B69" s="1">
        <v>0</v>
      </c>
      <c r="C69" s="1" t="s">
        <v>255</v>
      </c>
    </row>
    <row r="70" spans="1:8" x14ac:dyDescent="0.2">
      <c r="A70" s="20" t="s">
        <v>63</v>
      </c>
      <c r="B70" s="1">
        <v>1</v>
      </c>
      <c r="C70" s="1" t="s">
        <v>256</v>
      </c>
    </row>
    <row r="71" spans="1:8" x14ac:dyDescent="0.2">
      <c r="A71" s="20" t="s">
        <v>63</v>
      </c>
      <c r="B71" s="1">
        <v>2</v>
      </c>
      <c r="C71" s="1" t="s">
        <v>257</v>
      </c>
    </row>
    <row r="73" spans="1:8" x14ac:dyDescent="0.2">
      <c r="B73" s="57" t="s">
        <v>259</v>
      </c>
      <c r="C73" s="58">
        <v>-1</v>
      </c>
    </row>
    <row r="75" spans="1:8" ht="19" x14ac:dyDescent="0.25">
      <c r="A75" s="59" t="s">
        <v>260</v>
      </c>
      <c r="B75" s="1" t="str" cm="1">
        <f t="array" ref="B75:H78">diyT_primitive(C73)</f>
        <v>Suite</v>
      </c>
      <c r="C75" s="1" t="str">
        <v>Test</v>
      </c>
      <c r="D75" s="20" t="str">
        <v>Actual</v>
      </c>
      <c r="E75" s="20" t="str">
        <v>Expected</v>
      </c>
      <c r="F75" s="20" t="str">
        <v>Tol</v>
      </c>
      <c r="G75" s="20" t="str">
        <v>Error</v>
      </c>
      <c r="H75" s="20" t="str">
        <v>Result</v>
      </c>
    </row>
    <row r="76" spans="1:8" ht="19" x14ac:dyDescent="0.25">
      <c r="A76" s="59"/>
      <c r="B76" s="1" t="str">
        <v>primitive_01</v>
      </c>
      <c r="C76" s="1" t="str">
        <v>fwd identity</v>
      </c>
      <c r="D76" s="20">
        <v>105.12710963760242</v>
      </c>
      <c r="E76" s="20">
        <v>105.12710963760242</v>
      </c>
      <c r="F76" s="20">
        <v>1E-10</v>
      </c>
      <c r="G76" s="20">
        <v>0</v>
      </c>
      <c r="H76" s="20" t="str">
        <v>PASS</v>
      </c>
    </row>
    <row r="77" spans="1:8" ht="19" x14ac:dyDescent="0.25">
      <c r="A77" s="59"/>
      <c r="B77" s="1" t="str">
        <v>primitive_01</v>
      </c>
      <c r="C77" s="1" t="str">
        <v>bs call</v>
      </c>
      <c r="D77" s="20">
        <v>10.450583572185565</v>
      </c>
      <c r="E77" s="20">
        <v>10.4506</v>
      </c>
      <c r="F77" s="20">
        <v>1E-3</v>
      </c>
      <c r="G77" s="20">
        <v>1.6427814435004962E-5</v>
      </c>
      <c r="H77" s="20" t="str">
        <v>PASS</v>
      </c>
    </row>
    <row r="78" spans="1:8" ht="19" x14ac:dyDescent="0.25">
      <c r="A78" s="59"/>
      <c r="B78" s="1" t="str">
        <v>primitive_01</v>
      </c>
      <c r="C78" s="1" t="str">
        <v>inv_dist valid</v>
      </c>
      <c r="D78" s="20" t="str">
        <v>PASS</v>
      </c>
      <c r="E78" s="20" t="e">
        <v>#N/A</v>
      </c>
      <c r="F78" s="20" t="e">
        <v>#N/A</v>
      </c>
      <c r="G78" s="20" t="e">
        <v>#N/A</v>
      </c>
      <c r="H78" s="20" t="e">
        <v>#N/A</v>
      </c>
    </row>
    <row r="79" spans="1:8" ht="19" x14ac:dyDescent="0.25">
      <c r="A79" s="59"/>
      <c r="D79" s="20"/>
      <c r="E79" s="20"/>
      <c r="F79" s="20"/>
      <c r="G79" s="20"/>
      <c r="H79" s="20"/>
    </row>
    <row r="80" spans="1:8" ht="19" x14ac:dyDescent="0.25">
      <c r="A80" s="59" t="s">
        <v>164</v>
      </c>
      <c r="B80" s="1" t="str" cm="1">
        <f t="array" ref="B80:H82">diyT_dist(C73)</f>
        <v>Suite</v>
      </c>
      <c r="C80" s="1" t="str">
        <v>Test</v>
      </c>
      <c r="D80" s="20" t="str">
        <v>Actual</v>
      </c>
      <c r="E80" s="20" t="str">
        <v>Expected</v>
      </c>
      <c r="F80" s="20" t="str">
        <v>Tol</v>
      </c>
      <c r="G80" s="20" t="str">
        <v>Error</v>
      </c>
      <c r="H80" s="20" t="str">
        <v>Result</v>
      </c>
    </row>
    <row r="81" spans="1:8" ht="19" x14ac:dyDescent="0.25">
      <c r="A81" s="59"/>
      <c r="B81" s="1" t="str">
        <v>dist_02</v>
      </c>
      <c r="C81" s="1" t="str">
        <v>mean ~ 0</v>
      </c>
      <c r="D81" s="20">
        <v>0</v>
      </c>
      <c r="E81" s="20">
        <v>0</v>
      </c>
      <c r="F81" s="20">
        <v>1E-3</v>
      </c>
      <c r="G81" s="20">
        <v>0</v>
      </c>
      <c r="H81" s="20" t="str">
        <v>PASS</v>
      </c>
    </row>
    <row r="82" spans="1:8" ht="19" x14ac:dyDescent="0.25">
      <c r="A82" s="59"/>
      <c r="B82" s="1" t="str">
        <v>dist_02</v>
      </c>
      <c r="C82" s="1" t="str">
        <v>var ~ 1</v>
      </c>
      <c r="D82" s="20">
        <v>1</v>
      </c>
      <c r="E82" s="20">
        <v>1</v>
      </c>
      <c r="F82" s="20">
        <v>1E-3</v>
      </c>
      <c r="G82" s="20">
        <v>0</v>
      </c>
      <c r="H82" s="20" t="str">
        <v>PASS</v>
      </c>
    </row>
    <row r="83" spans="1:8" ht="19" x14ac:dyDescent="0.25">
      <c r="A83" s="59"/>
      <c r="D83" s="20"/>
      <c r="E83" s="20"/>
      <c r="F83" s="20"/>
      <c r="G83" s="20"/>
      <c r="H83" s="20"/>
    </row>
    <row r="84" spans="1:8" ht="19" x14ac:dyDescent="0.25">
      <c r="A84" s="59" t="s">
        <v>166</v>
      </c>
      <c r="B84" s="1" t="str" cm="1">
        <f t="array" ref="B84:H85">diyT_drift(C73)</f>
        <v>Suite</v>
      </c>
      <c r="C84" s="1" t="str">
        <v>Test</v>
      </c>
      <c r="D84" s="20" t="str">
        <v>Actual</v>
      </c>
      <c r="E84" s="20" t="str">
        <v>Expected</v>
      </c>
      <c r="F84" s="20" t="str">
        <v>Tol</v>
      </c>
      <c r="G84" s="20" t="str">
        <v>Error</v>
      </c>
      <c r="H84" s="20" t="str">
        <v>Result</v>
      </c>
    </row>
    <row r="85" spans="1:8" ht="19" x14ac:dyDescent="0.25">
      <c r="A85" s="59"/>
      <c r="B85" s="1" t="str">
        <v>drift_03</v>
      </c>
      <c r="C85" s="1" t="str">
        <v>E[ST]=F</v>
      </c>
      <c r="D85" s="20">
        <v>105.12710963760242</v>
      </c>
      <c r="E85" s="20">
        <v>105.12710963760242</v>
      </c>
      <c r="F85" s="20">
        <v>1E-3</v>
      </c>
      <c r="G85" s="20">
        <v>0</v>
      </c>
      <c r="H85" s="20" t="str">
        <v>PASS</v>
      </c>
    </row>
    <row r="86" spans="1:8" ht="19" x14ac:dyDescent="0.25">
      <c r="A86" s="59"/>
      <c r="D86" s="20"/>
      <c r="E86" s="20"/>
      <c r="F86" s="20"/>
      <c r="G86" s="20"/>
      <c r="H86" s="20"/>
    </row>
    <row r="87" spans="1:8" ht="19" x14ac:dyDescent="0.25">
      <c r="A87" s="59" t="s">
        <v>168</v>
      </c>
      <c r="B87" s="1" t="str" cm="1">
        <f t="array" ref="B87:H89">diyT_pricing(C73)</f>
        <v>Suite</v>
      </c>
      <c r="C87" s="1" t="str">
        <v>Test</v>
      </c>
      <c r="D87" s="20" t="str">
        <v>Actual</v>
      </c>
      <c r="E87" s="20" t="str">
        <v>Expected</v>
      </c>
      <c r="F87" s="20" t="str">
        <v>Tol</v>
      </c>
      <c r="G87" s="20" t="str">
        <v>Error</v>
      </c>
      <c r="H87" s="20" t="str">
        <v>Result</v>
      </c>
    </row>
    <row r="88" spans="1:8" x14ac:dyDescent="0.2">
      <c r="A88" s="20"/>
      <c r="B88" s="1" t="str">
        <v>pricing_04</v>
      </c>
      <c r="C88" s="1" t="str">
        <v>INT vs BS</v>
      </c>
      <c r="D88" s="20">
        <v>10.450583572185565</v>
      </c>
      <c r="E88" s="20">
        <v>10.450583572185565</v>
      </c>
      <c r="F88" s="20">
        <v>0.01</v>
      </c>
      <c r="G88" s="20">
        <v>0</v>
      </c>
      <c r="H88" s="20" t="str">
        <v>PASS</v>
      </c>
    </row>
    <row r="89" spans="1:8" x14ac:dyDescent="0.2">
      <c r="A89" s="20"/>
      <c r="B89" s="1" t="str">
        <v>pricing_04</v>
      </c>
      <c r="C89" s="1" t="str">
        <v>MC vs INT</v>
      </c>
      <c r="D89" s="20">
        <v>10.450583572185565</v>
      </c>
      <c r="E89" s="20">
        <v>10.450583572185565</v>
      </c>
      <c r="F89" s="20">
        <v>0.01</v>
      </c>
      <c r="G89" s="20">
        <v>0</v>
      </c>
      <c r="H89" s="20" t="str">
        <v>PASS</v>
      </c>
    </row>
    <row r="90" spans="1:8" x14ac:dyDescent="0.2">
      <c r="A90" s="20"/>
      <c r="D90" s="20"/>
      <c r="E90" s="20"/>
      <c r="F90" s="20"/>
      <c r="G90" s="20"/>
      <c r="H90" s="20"/>
    </row>
    <row r="91" spans="1:8" x14ac:dyDescent="0.2">
      <c r="D91" s="20"/>
      <c r="E91" s="20"/>
      <c r="F91" s="20"/>
      <c r="G91" s="20"/>
      <c r="H91" s="20"/>
    </row>
    <row r="92" spans="1:8" x14ac:dyDescent="0.2">
      <c r="D92" s="20"/>
      <c r="E92" s="20"/>
      <c r="F92" s="20"/>
      <c r="G92" s="20"/>
      <c r="H92" s="20"/>
    </row>
    <row r="93" spans="1:8" x14ac:dyDescent="0.2">
      <c r="D93" s="20"/>
      <c r="E93" s="20"/>
      <c r="F93" s="20"/>
      <c r="G93" s="20"/>
      <c r="H93" s="20"/>
    </row>
    <row r="94" spans="1:8" x14ac:dyDescent="0.2">
      <c r="D94" s="20"/>
      <c r="E94" s="20"/>
      <c r="F94" s="20"/>
      <c r="G94" s="20"/>
      <c r="H9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INFORMATION</vt:lpstr>
      <vt:lpstr>Simulation</vt:lpstr>
      <vt:lpstr>Notes &amp; Tests </vt:lpstr>
      <vt:lpstr>dn</vt:lpstr>
      <vt:lpstr>model</vt:lpstr>
      <vt:lpstr>rate</vt:lpstr>
      <vt:lpstr>stock</vt:lpstr>
      <vt:lpstr>strike</vt:lpstr>
      <vt:lpstr>time</vt:lpstr>
      <vt:lpstr>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 brown</dc:creator>
  <cp:lastModifiedBy>len brown</cp:lastModifiedBy>
  <dcterms:created xsi:type="dcterms:W3CDTF">2026-04-19T13:55:29Z</dcterms:created>
  <dcterms:modified xsi:type="dcterms:W3CDTF">2026-04-22T02:02:09Z</dcterms:modified>
</cp:coreProperties>
</file>